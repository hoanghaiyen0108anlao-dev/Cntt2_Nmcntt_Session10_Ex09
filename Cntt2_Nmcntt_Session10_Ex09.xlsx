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69305E2-2B04-44F3-BE93-CF360AD4B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BaoCao" sheetId="1" r:id="rId1"/>
    <sheet name="DanhMucTacGia" sheetId="2" r:id="rId2"/>
    <sheet name="PhanTich" sheetId="3" r:id="rId3"/>
  </sheets>
  <definedNames>
    <definedName name="_xlnm._FilterDatabase" localSheetId="1" hidden="1">DanhMucTacGia!$A$1:$E$4</definedName>
    <definedName name="_xlnm._FilterDatabase" localSheetId="0" hidden="1">DanhSachBaoCao!$A$1:$F$81</definedName>
    <definedName name="_xlnm.Print_Area" localSheetId="1">DanhMucTacGia!$A$1:$E$81</definedName>
    <definedName name="_xlnm.Print_Area" localSheetId="0">DanhSachBaoCao!$A$1:$F$81</definedName>
    <definedName name="_xlnm.Print_Area" localSheetId="2">PhanTich!$A$1:$D$31</definedName>
    <definedName name="_xlnm.Print_Titles" localSheetId="1">DanhMucTacGia!$1:$1</definedName>
    <definedName name="_xlnm.Print_Titles" localSheetId="0">DanhSachBaoCao!$1:$1</definedName>
  </definedNames>
  <calcPr calcId="191029"/>
  <fileRecoveryPr repairLoad="1"/>
</workbook>
</file>

<file path=xl/calcChain.xml><?xml version="1.0" encoding="utf-8"?>
<calcChain xmlns="http://schemas.openxmlformats.org/spreadsheetml/2006/main">
  <c r="B14" i="3" l="1"/>
  <c r="B13" i="3"/>
  <c r="B12" i="3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Mã có khoảng trắng cuối để minh họa cách TRIM xử lý.</t>
        </r>
      </text>
    </comment>
    <comment ref="C7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  <comment ref="C8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  <comment ref="C8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Bổ sung dữ liệu tác giả thực tế từ hàng 5 trở xuống. Công thức ở DanhSachBaoCao đang tham chiếu A2:E81.</t>
        </r>
      </text>
    </comment>
  </commentList>
</comments>
</file>

<file path=xl/sharedStrings.xml><?xml version="1.0" encoding="utf-8"?>
<sst xmlns="http://schemas.openxmlformats.org/spreadsheetml/2006/main" count="312" uniqueCount="225">
  <si>
    <t>Mã báo cáo</t>
  </si>
  <si>
    <t>Tên báo cáo</t>
  </si>
  <si>
    <t>Mã tác giả</t>
  </si>
  <si>
    <t>Tên tác giả</t>
  </si>
  <si>
    <t>Phòng trình bày</t>
  </si>
  <si>
    <t>Thù lao (VNĐ)</t>
  </si>
  <si>
    <t>BC001</t>
  </si>
  <si>
    <t>Báo cáo mẫu 01</t>
  </si>
  <si>
    <t>TG001</t>
  </si>
  <si>
    <t>BC002</t>
  </si>
  <si>
    <t>Báo cáo mẫu 02</t>
  </si>
  <si>
    <t>TG002</t>
  </si>
  <si>
    <t>BC003</t>
  </si>
  <si>
    <t>Báo cáo mẫu 03</t>
  </si>
  <si>
    <t>TG003</t>
  </si>
  <si>
    <t>BC004</t>
  </si>
  <si>
    <t>Báo cáo mẫu 04</t>
  </si>
  <si>
    <t xml:space="preserve">TG001 </t>
  </si>
  <si>
    <t>BC005</t>
  </si>
  <si>
    <t>Báo cáo mẫu 05</t>
  </si>
  <si>
    <t>BC006</t>
  </si>
  <si>
    <t>Báo cáo mẫu 06</t>
  </si>
  <si>
    <t>BC007</t>
  </si>
  <si>
    <t>Báo cáo mẫu 07</t>
  </si>
  <si>
    <t>BC008</t>
  </si>
  <si>
    <t>Báo cáo mẫu 08</t>
  </si>
  <si>
    <t>BC009</t>
  </si>
  <si>
    <t>Báo cáo mẫu 09</t>
  </si>
  <si>
    <t>BC010</t>
  </si>
  <si>
    <t>Báo cáo mẫu 10</t>
  </si>
  <si>
    <t>BC011</t>
  </si>
  <si>
    <t>Báo cáo mẫu 11</t>
  </si>
  <si>
    <t>BC012</t>
  </si>
  <si>
    <t>Báo cáo mẫu 12</t>
  </si>
  <si>
    <t>BC013</t>
  </si>
  <si>
    <t>Báo cáo mẫu 13</t>
  </si>
  <si>
    <t>BC014</t>
  </si>
  <si>
    <t>Báo cáo mẫu 14</t>
  </si>
  <si>
    <t>BC015</t>
  </si>
  <si>
    <t>Báo cáo mẫu 15</t>
  </si>
  <si>
    <t>BC016</t>
  </si>
  <si>
    <t>Báo cáo mẫu 16</t>
  </si>
  <si>
    <t>BC017</t>
  </si>
  <si>
    <t>Báo cáo mẫu 17</t>
  </si>
  <si>
    <t>BC018</t>
  </si>
  <si>
    <t>Báo cáo mẫu 18</t>
  </si>
  <si>
    <t>BC019</t>
  </si>
  <si>
    <t>Báo cáo mẫu 19</t>
  </si>
  <si>
    <t>BC020</t>
  </si>
  <si>
    <t>Báo cáo mẫu 20</t>
  </si>
  <si>
    <t>BC021</t>
  </si>
  <si>
    <t>Báo cáo mẫu 21</t>
  </si>
  <si>
    <t>BC022</t>
  </si>
  <si>
    <t>Báo cáo mẫu 22</t>
  </si>
  <si>
    <t>BC023</t>
  </si>
  <si>
    <t>Báo cáo mẫu 23</t>
  </si>
  <si>
    <t>BC024</t>
  </si>
  <si>
    <t>Báo cáo mẫu 24</t>
  </si>
  <si>
    <t>BC025</t>
  </si>
  <si>
    <t>Báo cáo mẫu 25</t>
  </si>
  <si>
    <t>BC026</t>
  </si>
  <si>
    <t>Báo cáo mẫu 26</t>
  </si>
  <si>
    <t>BC027</t>
  </si>
  <si>
    <t>Báo cáo mẫu 27</t>
  </si>
  <si>
    <t>BC028</t>
  </si>
  <si>
    <t>Báo cáo mẫu 28</t>
  </si>
  <si>
    <t>BC029</t>
  </si>
  <si>
    <t>Báo cáo mẫu 29</t>
  </si>
  <si>
    <t>BC030</t>
  </si>
  <si>
    <t>Báo cáo mẫu 30</t>
  </si>
  <si>
    <t>BC031</t>
  </si>
  <si>
    <t>Báo cáo mẫu 31</t>
  </si>
  <si>
    <t>BC032</t>
  </si>
  <si>
    <t>Báo cáo mẫu 32</t>
  </si>
  <si>
    <t>BC033</t>
  </si>
  <si>
    <t>Báo cáo mẫu 33</t>
  </si>
  <si>
    <t>BC034</t>
  </si>
  <si>
    <t>Báo cáo mẫu 34</t>
  </si>
  <si>
    <t>BC035</t>
  </si>
  <si>
    <t>Báo cáo mẫu 35</t>
  </si>
  <si>
    <t>BC036</t>
  </si>
  <si>
    <t>Báo cáo mẫu 36</t>
  </si>
  <si>
    <t>BC037</t>
  </si>
  <si>
    <t>Báo cáo mẫu 37</t>
  </si>
  <si>
    <t>BC038</t>
  </si>
  <si>
    <t>Báo cáo mẫu 38</t>
  </si>
  <si>
    <t>BC039</t>
  </si>
  <si>
    <t>Báo cáo mẫu 39</t>
  </si>
  <si>
    <t>BC040</t>
  </si>
  <si>
    <t>Báo cáo mẫu 40</t>
  </si>
  <si>
    <t>BC041</t>
  </si>
  <si>
    <t>Báo cáo mẫu 41</t>
  </si>
  <si>
    <t>BC042</t>
  </si>
  <si>
    <t>Báo cáo mẫu 42</t>
  </si>
  <si>
    <t>BC043</t>
  </si>
  <si>
    <t>Báo cáo mẫu 43</t>
  </si>
  <si>
    <t>BC044</t>
  </si>
  <si>
    <t>Báo cáo mẫu 44</t>
  </si>
  <si>
    <t>BC045</t>
  </si>
  <si>
    <t>Báo cáo mẫu 45</t>
  </si>
  <si>
    <t>BC046</t>
  </si>
  <si>
    <t>Báo cáo mẫu 46</t>
  </si>
  <si>
    <t>BC047</t>
  </si>
  <si>
    <t>Báo cáo mẫu 47</t>
  </si>
  <si>
    <t>BC048</t>
  </si>
  <si>
    <t>Báo cáo mẫu 48</t>
  </si>
  <si>
    <t>BC049</t>
  </si>
  <si>
    <t>Báo cáo mẫu 49</t>
  </si>
  <si>
    <t>BC050</t>
  </si>
  <si>
    <t>Báo cáo mẫu 50</t>
  </si>
  <si>
    <t>BC051</t>
  </si>
  <si>
    <t>Báo cáo mẫu 51</t>
  </si>
  <si>
    <t>BC052</t>
  </si>
  <si>
    <t>Báo cáo mẫu 52</t>
  </si>
  <si>
    <t>BC053</t>
  </si>
  <si>
    <t>Báo cáo mẫu 53</t>
  </si>
  <si>
    <t>BC054</t>
  </si>
  <si>
    <t>Báo cáo mẫu 54</t>
  </si>
  <si>
    <t>BC055</t>
  </si>
  <si>
    <t>Báo cáo mẫu 55</t>
  </si>
  <si>
    <t>BC056</t>
  </si>
  <si>
    <t>Báo cáo mẫu 56</t>
  </si>
  <si>
    <t>BC057</t>
  </si>
  <si>
    <t>Báo cáo mẫu 57</t>
  </si>
  <si>
    <t>BC058</t>
  </si>
  <si>
    <t>Báo cáo mẫu 58</t>
  </si>
  <si>
    <t>BC059</t>
  </si>
  <si>
    <t>Báo cáo mẫu 59</t>
  </si>
  <si>
    <t>BC060</t>
  </si>
  <si>
    <t>Báo cáo mẫu 60</t>
  </si>
  <si>
    <t>BC061</t>
  </si>
  <si>
    <t>Báo cáo mẫu 61</t>
  </si>
  <si>
    <t>BC062</t>
  </si>
  <si>
    <t>Báo cáo mẫu 62</t>
  </si>
  <si>
    <t>BC063</t>
  </si>
  <si>
    <t>Báo cáo mẫu 63</t>
  </si>
  <si>
    <t>BC064</t>
  </si>
  <si>
    <t>Báo cáo mẫu 64</t>
  </si>
  <si>
    <t>BC065</t>
  </si>
  <si>
    <t>Báo cáo mẫu 65</t>
  </si>
  <si>
    <t>BC066</t>
  </si>
  <si>
    <t>Báo cáo mẫu 66</t>
  </si>
  <si>
    <t>BC067</t>
  </si>
  <si>
    <t>Báo cáo mẫu 67</t>
  </si>
  <si>
    <t>BC068</t>
  </si>
  <si>
    <t>Báo cáo mẫu 68</t>
  </si>
  <si>
    <t>BC069</t>
  </si>
  <si>
    <t>Báo cáo mẫu 69</t>
  </si>
  <si>
    <t>BC070</t>
  </si>
  <si>
    <t>Báo cáo mẫu 70</t>
  </si>
  <si>
    <t>BC071</t>
  </si>
  <si>
    <t>Báo cáo mẫu 71</t>
  </si>
  <si>
    <t>BC072</t>
  </si>
  <si>
    <t>Báo cáo mẫu 72</t>
  </si>
  <si>
    <t>BC073</t>
  </si>
  <si>
    <t>Báo cáo mẫu 73</t>
  </si>
  <si>
    <t>BC074</t>
  </si>
  <si>
    <t>Báo cáo mẫu 74</t>
  </si>
  <si>
    <t>BC075</t>
  </si>
  <si>
    <t>Báo cáo mẫu 75</t>
  </si>
  <si>
    <t>BC076</t>
  </si>
  <si>
    <t>Báo cáo mẫu 76</t>
  </si>
  <si>
    <t>BC077</t>
  </si>
  <si>
    <t>Báo cáo mẫu 77</t>
  </si>
  <si>
    <t>BC078</t>
  </si>
  <si>
    <t>Báo cáo mẫu 78</t>
  </si>
  <si>
    <t>EXT001</t>
  </si>
  <si>
    <t>BC079</t>
  </si>
  <si>
    <t>Báo cáo mẫu 79</t>
  </si>
  <si>
    <t>EXT002</t>
  </si>
  <si>
    <t>BC080</t>
  </si>
  <si>
    <t>Báo cáo mẫu 80</t>
  </si>
  <si>
    <t>EXT003</t>
  </si>
  <si>
    <t>Mã TG</t>
  </si>
  <si>
    <t>Khoa/Viện</t>
  </si>
  <si>
    <t>Phòng</t>
  </si>
  <si>
    <t>Nguyễn Văn An</t>
  </si>
  <si>
    <t>CNTT</t>
  </si>
  <si>
    <t>P.201-A</t>
  </si>
  <si>
    <t>Trần Thị Bình</t>
  </si>
  <si>
    <t>Điện Tử</t>
  </si>
  <si>
    <t>P.305-B</t>
  </si>
  <si>
    <t>Lê Minh Châu</t>
  </si>
  <si>
    <t>BÀI THỰC HÀNH EXCEL – VLOOKUP</t>
  </si>
  <si>
    <t>Mục tiêu: nối dữ liệu giữa hai sheet, xử lý khoảng trắng, mã không tồn tại và cố định vùng tra cứu.</t>
  </si>
  <si>
    <t>1. PHÂN TÍCH I/O</t>
  </si>
  <si>
    <t>Thành phần</t>
  </si>
  <si>
    <t>Cột D – Tên tác giả</t>
  </si>
  <si>
    <t>Cột E – Phòng</t>
  </si>
  <si>
    <t>Cột F – Thù lao</t>
  </si>
  <si>
    <t>Lookup_value</t>
  </si>
  <si>
    <t>TRIM(C2)</t>
  </si>
  <si>
    <t>Table_array</t>
  </si>
  <si>
    <t>'DanhMucTacGia'!$A$2:$E$81</t>
  </si>
  <si>
    <t>Col_index_num</t>
  </si>
  <si>
    <t>2</t>
  </si>
  <si>
    <t>4</t>
  </si>
  <si>
    <t>5</t>
  </si>
  <si>
    <t>Range_lookup</t>
  </si>
  <si>
    <t>FALSE – khớp chính xác</t>
  </si>
  <si>
    <t>2. CÔNG THỨC ÁP DỤNG</t>
  </si>
  <si>
    <t>Ô D2</t>
  </si>
  <si>
    <t>Ô E2</t>
  </si>
  <si>
    <t>Ô F2</t>
  </si>
  <si>
    <t>3. XỬ LÝ BẪY DỮ LIỆU</t>
  </si>
  <si>
    <t>Bẫy</t>
  </si>
  <si>
    <t>Giải pháp</t>
  </si>
  <si>
    <t>Tác dụng</t>
  </si>
  <si>
    <t>Khoảng trắng thừa</t>
  </si>
  <si>
    <t>Loại bỏ khoảng trắng đầu/cuối mã cần tìm.</t>
  </si>
  <si>
    <t>Mã chưa có trong danh mục</t>
  </si>
  <si>
    <t>IFERROR(...,"Chưa cập nhật")</t>
  </si>
  <si>
    <t>Thay lỗi #N/A bằng thông báo rõ ràng.</t>
  </si>
  <si>
    <t>Vùng tra cứu bị dịch</t>
  </si>
  <si>
    <t>Cố định $A$2:$E$81</t>
  </si>
  <si>
    <t>Giữ nguyên bảng tra cứu khi sao chép công thức.</t>
  </si>
  <si>
    <t>Quên dấu $</t>
  </si>
  <si>
    <t>A2:E81 → A5:E84 khi kéo từ hàng 2 xuống hàng 5</t>
  </si>
  <si>
    <t>Vùng bị dịch xuống, có thể bỏ sót mã ở đầu danh mục.</t>
  </si>
  <si>
    <t>4. QUY TRÌNH THỰC HIỆN</t>
  </si>
  <si>
    <t>1. Kiểm tra mã tác giả ở cột C và danh mục mã ở cột A.</t>
  </si>
  <si>
    <t>2. Nhập ba công thức tương ứng tại D2, E2 và F2.</t>
  </si>
  <si>
    <t>3. Sao chép/kéo công thức xuống hết hàng 81.</t>
  </si>
  <si>
    <t>4. Kiểm tra ô hiển thị “Chưa cập nhật” và bổ sung danh mục nếu có dữ liệu.</t>
  </si>
  <si>
    <t>5. Lưu workbook; đưa file Excel và phần phân tích lên repository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</si>
</sst>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Aptos"/>
    </font>
    <font>
      <sz val="10"/>
      <color rgb="FF1F1F1F"/>
      <name val="Aptos"/>
    </font>
    <font>
      <sz val="10"/>
      <color rgb="FF006100"/>
      <name val="Aptos"/>
    </font>
    <font>
      <b/>
      <sz val="16"/>
      <color rgb="FFFFFFFF"/>
      <name val="Aptos Display"/>
    </font>
    <font>
      <i/>
      <sz val="10"/>
      <color rgb="FF404040"/>
      <name val="Aptos"/>
    </font>
    <font>
      <b/>
      <sz val="10"/>
      <color rgb="FFFFFFFF"/>
      <name val="Aptos"/>
    </font>
    <font>
      <sz val="9"/>
      <color rgb="FF006100"/>
      <name val="Consolas"/>
    </font>
    <font>
      <b/>
      <sz val="10"/>
      <color rgb="FF7F6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4F9F4"/>
      </patternFill>
    </fill>
    <fill>
      <patternFill patternType="solid">
        <fgColor rgb="FFFAFAFA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0" fillId="0" borderId="3" xfId="0" applyBorder="1"/>
    <xf numFmtId="0" fontId="2" fillId="2" borderId="0" xfId="0" applyFont="1" applyFill="1" applyAlignment="1">
      <alignment vertical="center"/>
    </xf>
    <xf numFmtId="0" fontId="0" fillId="0" borderId="0" xfId="0"/>
    <xf numFmtId="0" fontId="9" fillId="3" borderId="0" xfId="0" applyFont="1" applyFill="1" applyAlignment="1">
      <alignment vertical="center" wrapText="1"/>
    </xf>
    <xf numFmtId="49" fontId="8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0" fillId="9" borderId="3" xfId="0" applyFill="1" applyBorder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F81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30" customWidth="1"/>
    <col min="3" max="3" width="17" customWidth="1"/>
    <col min="4" max="4" width="27" customWidth="1"/>
    <col min="5" max="5" width="22" customWidth="1"/>
    <col min="6" max="6" width="20" customWidth="1"/>
  </cols>
  <sheetData>
    <row r="1" spans="1:6" ht="34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05" customHeight="1" x14ac:dyDescent="0.3">
      <c r="A2" s="3" t="s">
        <v>6</v>
      </c>
      <c r="B2" s="4" t="s">
        <v>7</v>
      </c>
      <c r="C2" s="3" t="s">
        <v>8</v>
      </c>
      <c r="D2" s="5" t="str">
        <f>IFERROR(VLOOKUP(TRIM(C2),DanhMucTacGia!$A$2:$E$81,2,FALSE),"Chưa cập nhật")</f>
        <v>Nguyễn Văn An</v>
      </c>
      <c r="E2" s="5" t="str">
        <f>IFERROR(VLOOKUP(TRIM(C2),DanhMucTacGia!$A$2:$E$81,4,FALSE),"Chưa cập nhật")</f>
        <v>P.201-A</v>
      </c>
      <c r="F2" s="6">
        <f>IFERROR(VLOOKUP(TRIM(C2),DanhMucTacGia!$A$2:$E$81,5,FALSE),"Chưa cập nhật")</f>
        <v>500000</v>
      </c>
    </row>
    <row r="3" spans="1:6" ht="22.05" customHeight="1" x14ac:dyDescent="0.3">
      <c r="A3" s="3" t="s">
        <v>9</v>
      </c>
      <c r="B3" s="4" t="s">
        <v>10</v>
      </c>
      <c r="C3" s="3" t="s">
        <v>11</v>
      </c>
      <c r="D3" s="5" t="str">
        <f>IFERROR(VLOOKUP(TRIM(C3),DanhMucTacGia!$A$2:$E$81,2,FALSE),"Chưa cập nhật")</f>
        <v>Trần Thị Bình</v>
      </c>
      <c r="E3" s="5" t="str">
        <f>IFERROR(VLOOKUP(TRIM(C3),DanhMucTacGia!$A$2:$E$81,4,FALSE),"Chưa cập nhật")</f>
        <v>P.305-B</v>
      </c>
      <c r="F3" s="6">
        <f>IFERROR(VLOOKUP(TRIM(C3),DanhMucTacGia!$A$2:$E$81,5,FALSE),"Chưa cập nhật")</f>
        <v>450000</v>
      </c>
    </row>
    <row r="4" spans="1:6" ht="22.05" customHeight="1" x14ac:dyDescent="0.3">
      <c r="A4" s="3" t="s">
        <v>12</v>
      </c>
      <c r="B4" s="4" t="s">
        <v>13</v>
      </c>
      <c r="C4" s="3" t="s">
        <v>14</v>
      </c>
      <c r="D4" s="5" t="str">
        <f>IFERROR(VLOOKUP(TRIM(C4),DanhMucTacGia!$A$2:$E$81,2,FALSE),"Chưa cập nhật")</f>
        <v>Lê Minh Châu</v>
      </c>
      <c r="E4" s="5" t="str">
        <f>IFERROR(VLOOKUP(TRIM(C4),DanhMucTacGia!$A$2:$E$81,4,FALSE),"Chưa cập nhật")</f>
        <v>P.201-A</v>
      </c>
      <c r="F4" s="6">
        <f>IFERROR(VLOOKUP(TRIM(C4),DanhMucTacGia!$A$2:$E$81,5,FALSE),"Chưa cập nhật")</f>
        <v>500000</v>
      </c>
    </row>
    <row r="5" spans="1:6" ht="22.05" customHeight="1" x14ac:dyDescent="0.3">
      <c r="A5" s="3" t="s">
        <v>15</v>
      </c>
      <c r="B5" s="4" t="s">
        <v>16</v>
      </c>
      <c r="C5" s="3" t="s">
        <v>17</v>
      </c>
      <c r="D5" s="5" t="str">
        <f>IFERROR(VLOOKUP(TRIM(C5),DanhMucTacGia!$A$2:$E$81,2,FALSE),"Chưa cập nhật")</f>
        <v>Nguyễn Văn An</v>
      </c>
      <c r="E5" s="5" t="str">
        <f>IFERROR(VLOOKUP(TRIM(C5),DanhMucTacGia!$A$2:$E$81,4,FALSE),"Chưa cập nhật")</f>
        <v>P.201-A</v>
      </c>
      <c r="F5" s="6">
        <f>IFERROR(VLOOKUP(TRIM(C5),DanhMucTacGia!$A$2:$E$81,5,FALSE),"Chưa cập nhật")</f>
        <v>500000</v>
      </c>
    </row>
    <row r="6" spans="1:6" ht="22.05" customHeight="1" x14ac:dyDescent="0.3">
      <c r="A6" s="3" t="s">
        <v>18</v>
      </c>
      <c r="B6" s="4" t="s">
        <v>19</v>
      </c>
      <c r="C6" s="3" t="s">
        <v>11</v>
      </c>
      <c r="D6" s="5" t="str">
        <f>IFERROR(VLOOKUP(TRIM(C6),DanhMucTacGia!$A$2:$E$81,2,FALSE),"Chưa cập nhật")</f>
        <v>Trần Thị Bình</v>
      </c>
      <c r="E6" s="5" t="str">
        <f>IFERROR(VLOOKUP(TRIM(C6),DanhMucTacGia!$A$2:$E$81,4,FALSE),"Chưa cập nhật")</f>
        <v>P.305-B</v>
      </c>
      <c r="F6" s="6">
        <f>IFERROR(VLOOKUP(TRIM(C6),DanhMucTacGia!$A$2:$E$81,5,FALSE),"Chưa cập nhật")</f>
        <v>450000</v>
      </c>
    </row>
    <row r="7" spans="1:6" ht="22.05" customHeight="1" x14ac:dyDescent="0.3">
      <c r="A7" s="3" t="s">
        <v>20</v>
      </c>
      <c r="B7" s="4" t="s">
        <v>21</v>
      </c>
      <c r="C7" s="3" t="s">
        <v>14</v>
      </c>
      <c r="D7" s="5" t="str">
        <f>IFERROR(VLOOKUP(TRIM(C7),DanhMucTacGia!$A$2:$E$81,2,FALSE),"Chưa cập nhật")</f>
        <v>Lê Minh Châu</v>
      </c>
      <c r="E7" s="5" t="str">
        <f>IFERROR(VLOOKUP(TRIM(C7),DanhMucTacGia!$A$2:$E$81,4,FALSE),"Chưa cập nhật")</f>
        <v>P.201-A</v>
      </c>
      <c r="F7" s="6">
        <f>IFERROR(VLOOKUP(TRIM(C7),DanhMucTacGia!$A$2:$E$81,5,FALSE),"Chưa cập nhật")</f>
        <v>500000</v>
      </c>
    </row>
    <row r="8" spans="1:6" ht="22.05" customHeight="1" x14ac:dyDescent="0.3">
      <c r="A8" s="3" t="s">
        <v>22</v>
      </c>
      <c r="B8" s="4" t="s">
        <v>23</v>
      </c>
      <c r="C8" s="3" t="s">
        <v>8</v>
      </c>
      <c r="D8" s="5" t="str">
        <f>IFERROR(VLOOKUP(TRIM(C8),DanhMucTacGia!$A$2:$E$81,2,FALSE),"Chưa cập nhật")</f>
        <v>Nguyễn Văn An</v>
      </c>
      <c r="E8" s="5" t="str">
        <f>IFERROR(VLOOKUP(TRIM(C8),DanhMucTacGia!$A$2:$E$81,4,FALSE),"Chưa cập nhật")</f>
        <v>P.201-A</v>
      </c>
      <c r="F8" s="6">
        <f>IFERROR(VLOOKUP(TRIM(C8),DanhMucTacGia!$A$2:$E$81,5,FALSE),"Chưa cập nhật")</f>
        <v>500000</v>
      </c>
    </row>
    <row r="9" spans="1:6" ht="22.05" customHeight="1" x14ac:dyDescent="0.3">
      <c r="A9" s="3" t="s">
        <v>24</v>
      </c>
      <c r="B9" s="4" t="s">
        <v>25</v>
      </c>
      <c r="C9" s="3" t="s">
        <v>11</v>
      </c>
      <c r="D9" s="5" t="str">
        <f>IFERROR(VLOOKUP(TRIM(C9),DanhMucTacGia!$A$2:$E$81,2,FALSE),"Chưa cập nhật")</f>
        <v>Trần Thị Bình</v>
      </c>
      <c r="E9" s="5" t="str">
        <f>IFERROR(VLOOKUP(TRIM(C9),DanhMucTacGia!$A$2:$E$81,4,FALSE),"Chưa cập nhật")</f>
        <v>P.305-B</v>
      </c>
      <c r="F9" s="6">
        <f>IFERROR(VLOOKUP(TRIM(C9),DanhMucTacGia!$A$2:$E$81,5,FALSE),"Chưa cập nhật")</f>
        <v>450000</v>
      </c>
    </row>
    <row r="10" spans="1:6" ht="22.05" customHeight="1" x14ac:dyDescent="0.3">
      <c r="A10" s="3" t="s">
        <v>26</v>
      </c>
      <c r="B10" s="4" t="s">
        <v>27</v>
      </c>
      <c r="C10" s="3" t="s">
        <v>14</v>
      </c>
      <c r="D10" s="5" t="str">
        <f>IFERROR(VLOOKUP(TRIM(C10),DanhMucTacGia!$A$2:$E$81,2,FALSE),"Chưa cập nhật")</f>
        <v>Lê Minh Châu</v>
      </c>
      <c r="E10" s="5" t="str">
        <f>IFERROR(VLOOKUP(TRIM(C10),DanhMucTacGia!$A$2:$E$81,4,FALSE),"Chưa cập nhật")</f>
        <v>P.201-A</v>
      </c>
      <c r="F10" s="6">
        <f>IFERROR(VLOOKUP(TRIM(C10),DanhMucTacGia!$A$2:$E$81,5,FALSE),"Chưa cập nhật")</f>
        <v>500000</v>
      </c>
    </row>
    <row r="11" spans="1:6" ht="22.05" customHeight="1" x14ac:dyDescent="0.3">
      <c r="A11" s="3" t="s">
        <v>28</v>
      </c>
      <c r="B11" s="4" t="s">
        <v>29</v>
      </c>
      <c r="C11" s="3" t="s">
        <v>8</v>
      </c>
      <c r="D11" s="5" t="str">
        <f>IFERROR(VLOOKUP(TRIM(C11),DanhMucTacGia!$A$2:$E$81,2,FALSE),"Chưa cập nhật")</f>
        <v>Nguyễn Văn An</v>
      </c>
      <c r="E11" s="5" t="str">
        <f>IFERROR(VLOOKUP(TRIM(C11),DanhMucTacGia!$A$2:$E$81,4,FALSE),"Chưa cập nhật")</f>
        <v>P.201-A</v>
      </c>
      <c r="F11" s="6">
        <f>IFERROR(VLOOKUP(TRIM(C11),DanhMucTacGia!$A$2:$E$81,5,FALSE),"Chưa cập nhật")</f>
        <v>500000</v>
      </c>
    </row>
    <row r="12" spans="1:6" ht="22.05" customHeight="1" x14ac:dyDescent="0.3">
      <c r="A12" s="3" t="s">
        <v>30</v>
      </c>
      <c r="B12" s="4" t="s">
        <v>31</v>
      </c>
      <c r="C12" s="3" t="s">
        <v>11</v>
      </c>
      <c r="D12" s="5" t="str">
        <f>IFERROR(VLOOKUP(TRIM(C12),DanhMucTacGia!$A$2:$E$81,2,FALSE),"Chưa cập nhật")</f>
        <v>Trần Thị Bình</v>
      </c>
      <c r="E12" s="5" t="str">
        <f>IFERROR(VLOOKUP(TRIM(C12),DanhMucTacGia!$A$2:$E$81,4,FALSE),"Chưa cập nhật")</f>
        <v>P.305-B</v>
      </c>
      <c r="F12" s="6">
        <f>IFERROR(VLOOKUP(TRIM(C12),DanhMucTacGia!$A$2:$E$81,5,FALSE),"Chưa cập nhật")</f>
        <v>450000</v>
      </c>
    </row>
    <row r="13" spans="1:6" ht="22.05" customHeight="1" x14ac:dyDescent="0.3">
      <c r="A13" s="3" t="s">
        <v>32</v>
      </c>
      <c r="B13" s="4" t="s">
        <v>33</v>
      </c>
      <c r="C13" s="3" t="s">
        <v>14</v>
      </c>
      <c r="D13" s="5" t="str">
        <f>IFERROR(VLOOKUP(TRIM(C13),DanhMucTacGia!$A$2:$E$81,2,FALSE),"Chưa cập nhật")</f>
        <v>Lê Minh Châu</v>
      </c>
      <c r="E13" s="5" t="str">
        <f>IFERROR(VLOOKUP(TRIM(C13),DanhMucTacGia!$A$2:$E$81,4,FALSE),"Chưa cập nhật")</f>
        <v>P.201-A</v>
      </c>
      <c r="F13" s="6">
        <f>IFERROR(VLOOKUP(TRIM(C13),DanhMucTacGia!$A$2:$E$81,5,FALSE),"Chưa cập nhật")</f>
        <v>500000</v>
      </c>
    </row>
    <row r="14" spans="1:6" ht="22.05" customHeight="1" x14ac:dyDescent="0.3">
      <c r="A14" s="3" t="s">
        <v>34</v>
      </c>
      <c r="B14" s="4" t="s">
        <v>35</v>
      </c>
      <c r="C14" s="3" t="s">
        <v>8</v>
      </c>
      <c r="D14" s="5" t="str">
        <f>IFERROR(VLOOKUP(TRIM(C14),DanhMucTacGia!$A$2:$E$81,2,FALSE),"Chưa cập nhật")</f>
        <v>Nguyễn Văn An</v>
      </c>
      <c r="E14" s="5" t="str">
        <f>IFERROR(VLOOKUP(TRIM(C14),DanhMucTacGia!$A$2:$E$81,4,FALSE),"Chưa cập nhật")</f>
        <v>P.201-A</v>
      </c>
      <c r="F14" s="6">
        <f>IFERROR(VLOOKUP(TRIM(C14),DanhMucTacGia!$A$2:$E$81,5,FALSE),"Chưa cập nhật")</f>
        <v>500000</v>
      </c>
    </row>
    <row r="15" spans="1:6" ht="22.05" customHeight="1" x14ac:dyDescent="0.3">
      <c r="A15" s="3" t="s">
        <v>36</v>
      </c>
      <c r="B15" s="4" t="s">
        <v>37</v>
      </c>
      <c r="C15" s="3" t="s">
        <v>11</v>
      </c>
      <c r="D15" s="5" t="str">
        <f>IFERROR(VLOOKUP(TRIM(C15),DanhMucTacGia!$A$2:$E$81,2,FALSE),"Chưa cập nhật")</f>
        <v>Trần Thị Bình</v>
      </c>
      <c r="E15" s="5" t="str">
        <f>IFERROR(VLOOKUP(TRIM(C15),DanhMucTacGia!$A$2:$E$81,4,FALSE),"Chưa cập nhật")</f>
        <v>P.305-B</v>
      </c>
      <c r="F15" s="6">
        <f>IFERROR(VLOOKUP(TRIM(C15),DanhMucTacGia!$A$2:$E$81,5,FALSE),"Chưa cập nhật")</f>
        <v>450000</v>
      </c>
    </row>
    <row r="16" spans="1:6" ht="22.05" customHeight="1" x14ac:dyDescent="0.3">
      <c r="A16" s="3" t="s">
        <v>38</v>
      </c>
      <c r="B16" s="4" t="s">
        <v>39</v>
      </c>
      <c r="C16" s="3" t="s">
        <v>14</v>
      </c>
      <c r="D16" s="5" t="str">
        <f>IFERROR(VLOOKUP(TRIM(C16),DanhMucTacGia!$A$2:$E$81,2,FALSE),"Chưa cập nhật")</f>
        <v>Lê Minh Châu</v>
      </c>
      <c r="E16" s="5" t="str">
        <f>IFERROR(VLOOKUP(TRIM(C16),DanhMucTacGia!$A$2:$E$81,4,FALSE),"Chưa cập nhật")</f>
        <v>P.201-A</v>
      </c>
      <c r="F16" s="6">
        <f>IFERROR(VLOOKUP(TRIM(C16),DanhMucTacGia!$A$2:$E$81,5,FALSE),"Chưa cập nhật")</f>
        <v>500000</v>
      </c>
    </row>
    <row r="17" spans="1:6" ht="22.05" customHeight="1" x14ac:dyDescent="0.3">
      <c r="A17" s="3" t="s">
        <v>40</v>
      </c>
      <c r="B17" s="4" t="s">
        <v>41</v>
      </c>
      <c r="C17" s="3" t="s">
        <v>8</v>
      </c>
      <c r="D17" s="5" t="str">
        <f>IFERROR(VLOOKUP(TRIM(C17),DanhMucTacGia!$A$2:$E$81,2,FALSE),"Chưa cập nhật")</f>
        <v>Nguyễn Văn An</v>
      </c>
      <c r="E17" s="5" t="str">
        <f>IFERROR(VLOOKUP(TRIM(C17),DanhMucTacGia!$A$2:$E$81,4,FALSE),"Chưa cập nhật")</f>
        <v>P.201-A</v>
      </c>
      <c r="F17" s="6">
        <f>IFERROR(VLOOKUP(TRIM(C17),DanhMucTacGia!$A$2:$E$81,5,FALSE),"Chưa cập nhật")</f>
        <v>500000</v>
      </c>
    </row>
    <row r="18" spans="1:6" ht="22.05" customHeight="1" x14ac:dyDescent="0.3">
      <c r="A18" s="3" t="s">
        <v>42</v>
      </c>
      <c r="B18" s="4" t="s">
        <v>43</v>
      </c>
      <c r="C18" s="3" t="s">
        <v>11</v>
      </c>
      <c r="D18" s="5" t="str">
        <f>IFERROR(VLOOKUP(TRIM(C18),DanhMucTacGia!$A$2:$E$81,2,FALSE),"Chưa cập nhật")</f>
        <v>Trần Thị Bình</v>
      </c>
      <c r="E18" s="5" t="str">
        <f>IFERROR(VLOOKUP(TRIM(C18),DanhMucTacGia!$A$2:$E$81,4,FALSE),"Chưa cập nhật")</f>
        <v>P.305-B</v>
      </c>
      <c r="F18" s="6">
        <f>IFERROR(VLOOKUP(TRIM(C18),DanhMucTacGia!$A$2:$E$81,5,FALSE),"Chưa cập nhật")</f>
        <v>450000</v>
      </c>
    </row>
    <row r="19" spans="1:6" ht="22.05" customHeight="1" x14ac:dyDescent="0.3">
      <c r="A19" s="3" t="s">
        <v>44</v>
      </c>
      <c r="B19" s="4" t="s">
        <v>45</v>
      </c>
      <c r="C19" s="3" t="s">
        <v>14</v>
      </c>
      <c r="D19" s="5" t="str">
        <f>IFERROR(VLOOKUP(TRIM(C19),DanhMucTacGia!$A$2:$E$81,2,FALSE),"Chưa cập nhật")</f>
        <v>Lê Minh Châu</v>
      </c>
      <c r="E19" s="5" t="str">
        <f>IFERROR(VLOOKUP(TRIM(C19),DanhMucTacGia!$A$2:$E$81,4,FALSE),"Chưa cập nhật")</f>
        <v>P.201-A</v>
      </c>
      <c r="F19" s="6">
        <f>IFERROR(VLOOKUP(TRIM(C19),DanhMucTacGia!$A$2:$E$81,5,FALSE),"Chưa cập nhật")</f>
        <v>500000</v>
      </c>
    </row>
    <row r="20" spans="1:6" ht="22.05" customHeight="1" x14ac:dyDescent="0.3">
      <c r="A20" s="3" t="s">
        <v>46</v>
      </c>
      <c r="B20" s="4" t="s">
        <v>47</v>
      </c>
      <c r="C20" s="3" t="s">
        <v>8</v>
      </c>
      <c r="D20" s="5" t="str">
        <f>IFERROR(VLOOKUP(TRIM(C20),DanhMucTacGia!$A$2:$E$81,2,FALSE),"Chưa cập nhật")</f>
        <v>Nguyễn Văn An</v>
      </c>
      <c r="E20" s="5" t="str">
        <f>IFERROR(VLOOKUP(TRIM(C20),DanhMucTacGia!$A$2:$E$81,4,FALSE),"Chưa cập nhật")</f>
        <v>P.201-A</v>
      </c>
      <c r="F20" s="6">
        <f>IFERROR(VLOOKUP(TRIM(C20),DanhMucTacGia!$A$2:$E$81,5,FALSE),"Chưa cập nhật")</f>
        <v>500000</v>
      </c>
    </row>
    <row r="21" spans="1:6" ht="22.05" customHeight="1" x14ac:dyDescent="0.3">
      <c r="A21" s="3" t="s">
        <v>48</v>
      </c>
      <c r="B21" s="4" t="s">
        <v>49</v>
      </c>
      <c r="C21" s="3" t="s">
        <v>11</v>
      </c>
      <c r="D21" s="5" t="str">
        <f>IFERROR(VLOOKUP(TRIM(C21),DanhMucTacGia!$A$2:$E$81,2,FALSE),"Chưa cập nhật")</f>
        <v>Trần Thị Bình</v>
      </c>
      <c r="E21" s="5" t="str">
        <f>IFERROR(VLOOKUP(TRIM(C21),DanhMucTacGia!$A$2:$E$81,4,FALSE),"Chưa cập nhật")</f>
        <v>P.305-B</v>
      </c>
      <c r="F21" s="6">
        <f>IFERROR(VLOOKUP(TRIM(C21),DanhMucTacGia!$A$2:$E$81,5,FALSE),"Chưa cập nhật")</f>
        <v>450000</v>
      </c>
    </row>
    <row r="22" spans="1:6" ht="22.05" customHeight="1" x14ac:dyDescent="0.3">
      <c r="A22" s="3" t="s">
        <v>50</v>
      </c>
      <c r="B22" s="4" t="s">
        <v>51</v>
      </c>
      <c r="C22" s="3" t="s">
        <v>14</v>
      </c>
      <c r="D22" s="5" t="str">
        <f>IFERROR(VLOOKUP(TRIM(C22),DanhMucTacGia!$A$2:$E$81,2,FALSE),"Chưa cập nhật")</f>
        <v>Lê Minh Châu</v>
      </c>
      <c r="E22" s="5" t="str">
        <f>IFERROR(VLOOKUP(TRIM(C22),DanhMucTacGia!$A$2:$E$81,4,FALSE),"Chưa cập nhật")</f>
        <v>P.201-A</v>
      </c>
      <c r="F22" s="6">
        <f>IFERROR(VLOOKUP(TRIM(C22),DanhMucTacGia!$A$2:$E$81,5,FALSE),"Chưa cập nhật")</f>
        <v>500000</v>
      </c>
    </row>
    <row r="23" spans="1:6" ht="22.05" customHeight="1" x14ac:dyDescent="0.3">
      <c r="A23" s="3" t="s">
        <v>52</v>
      </c>
      <c r="B23" s="4" t="s">
        <v>53</v>
      </c>
      <c r="C23" s="3" t="s">
        <v>8</v>
      </c>
      <c r="D23" s="5" t="str">
        <f>IFERROR(VLOOKUP(TRIM(C23),DanhMucTacGia!$A$2:$E$81,2,FALSE),"Chưa cập nhật")</f>
        <v>Nguyễn Văn An</v>
      </c>
      <c r="E23" s="5" t="str">
        <f>IFERROR(VLOOKUP(TRIM(C23),DanhMucTacGia!$A$2:$E$81,4,FALSE),"Chưa cập nhật")</f>
        <v>P.201-A</v>
      </c>
      <c r="F23" s="6">
        <f>IFERROR(VLOOKUP(TRIM(C23),DanhMucTacGia!$A$2:$E$81,5,FALSE),"Chưa cập nhật")</f>
        <v>500000</v>
      </c>
    </row>
    <row r="24" spans="1:6" ht="22.05" customHeight="1" x14ac:dyDescent="0.3">
      <c r="A24" s="3" t="s">
        <v>54</v>
      </c>
      <c r="B24" s="4" t="s">
        <v>55</v>
      </c>
      <c r="C24" s="3" t="s">
        <v>11</v>
      </c>
      <c r="D24" s="5" t="str">
        <f>IFERROR(VLOOKUP(TRIM(C24),DanhMucTacGia!$A$2:$E$81,2,FALSE),"Chưa cập nhật")</f>
        <v>Trần Thị Bình</v>
      </c>
      <c r="E24" s="5" t="str">
        <f>IFERROR(VLOOKUP(TRIM(C24),DanhMucTacGia!$A$2:$E$81,4,FALSE),"Chưa cập nhật")</f>
        <v>P.305-B</v>
      </c>
      <c r="F24" s="6">
        <f>IFERROR(VLOOKUP(TRIM(C24),DanhMucTacGia!$A$2:$E$81,5,FALSE),"Chưa cập nhật")</f>
        <v>450000</v>
      </c>
    </row>
    <row r="25" spans="1:6" ht="22.05" customHeight="1" x14ac:dyDescent="0.3">
      <c r="A25" s="3" t="s">
        <v>56</v>
      </c>
      <c r="B25" s="4" t="s">
        <v>57</v>
      </c>
      <c r="C25" s="3" t="s">
        <v>14</v>
      </c>
      <c r="D25" s="5" t="str">
        <f>IFERROR(VLOOKUP(TRIM(C25),DanhMucTacGia!$A$2:$E$81,2,FALSE),"Chưa cập nhật")</f>
        <v>Lê Minh Châu</v>
      </c>
      <c r="E25" s="5" t="str">
        <f>IFERROR(VLOOKUP(TRIM(C25),DanhMucTacGia!$A$2:$E$81,4,FALSE),"Chưa cập nhật")</f>
        <v>P.201-A</v>
      </c>
      <c r="F25" s="6">
        <f>IFERROR(VLOOKUP(TRIM(C25),DanhMucTacGia!$A$2:$E$81,5,FALSE),"Chưa cập nhật")</f>
        <v>500000</v>
      </c>
    </row>
    <row r="26" spans="1:6" ht="22.05" customHeight="1" x14ac:dyDescent="0.3">
      <c r="A26" s="3" t="s">
        <v>58</v>
      </c>
      <c r="B26" s="4" t="s">
        <v>59</v>
      </c>
      <c r="C26" s="3" t="s">
        <v>8</v>
      </c>
      <c r="D26" s="5" t="str">
        <f>IFERROR(VLOOKUP(TRIM(C26),DanhMucTacGia!$A$2:$E$81,2,FALSE),"Chưa cập nhật")</f>
        <v>Nguyễn Văn An</v>
      </c>
      <c r="E26" s="5" t="str">
        <f>IFERROR(VLOOKUP(TRIM(C26),DanhMucTacGia!$A$2:$E$81,4,FALSE),"Chưa cập nhật")</f>
        <v>P.201-A</v>
      </c>
      <c r="F26" s="6">
        <f>IFERROR(VLOOKUP(TRIM(C26),DanhMucTacGia!$A$2:$E$81,5,FALSE),"Chưa cập nhật")</f>
        <v>500000</v>
      </c>
    </row>
    <row r="27" spans="1:6" ht="22.05" customHeight="1" x14ac:dyDescent="0.3">
      <c r="A27" s="3" t="s">
        <v>60</v>
      </c>
      <c r="B27" s="4" t="s">
        <v>61</v>
      </c>
      <c r="C27" s="3" t="s">
        <v>11</v>
      </c>
      <c r="D27" s="5" t="str">
        <f>IFERROR(VLOOKUP(TRIM(C27),DanhMucTacGia!$A$2:$E$81,2,FALSE),"Chưa cập nhật")</f>
        <v>Trần Thị Bình</v>
      </c>
      <c r="E27" s="5" t="str">
        <f>IFERROR(VLOOKUP(TRIM(C27),DanhMucTacGia!$A$2:$E$81,4,FALSE),"Chưa cập nhật")</f>
        <v>P.305-B</v>
      </c>
      <c r="F27" s="6">
        <f>IFERROR(VLOOKUP(TRIM(C27),DanhMucTacGia!$A$2:$E$81,5,FALSE),"Chưa cập nhật")</f>
        <v>450000</v>
      </c>
    </row>
    <row r="28" spans="1:6" ht="22.05" customHeight="1" x14ac:dyDescent="0.3">
      <c r="A28" s="3" t="s">
        <v>62</v>
      </c>
      <c r="B28" s="4" t="s">
        <v>63</v>
      </c>
      <c r="C28" s="3" t="s">
        <v>14</v>
      </c>
      <c r="D28" s="5" t="str">
        <f>IFERROR(VLOOKUP(TRIM(C28),DanhMucTacGia!$A$2:$E$81,2,FALSE),"Chưa cập nhật")</f>
        <v>Lê Minh Châu</v>
      </c>
      <c r="E28" s="5" t="str">
        <f>IFERROR(VLOOKUP(TRIM(C28),DanhMucTacGia!$A$2:$E$81,4,FALSE),"Chưa cập nhật")</f>
        <v>P.201-A</v>
      </c>
      <c r="F28" s="6">
        <f>IFERROR(VLOOKUP(TRIM(C28),DanhMucTacGia!$A$2:$E$81,5,FALSE),"Chưa cập nhật")</f>
        <v>500000</v>
      </c>
    </row>
    <row r="29" spans="1:6" ht="22.05" customHeight="1" x14ac:dyDescent="0.3">
      <c r="A29" s="3" t="s">
        <v>64</v>
      </c>
      <c r="B29" s="4" t="s">
        <v>65</v>
      </c>
      <c r="C29" s="3" t="s">
        <v>8</v>
      </c>
      <c r="D29" s="5" t="str">
        <f>IFERROR(VLOOKUP(TRIM(C29),DanhMucTacGia!$A$2:$E$81,2,FALSE),"Chưa cập nhật")</f>
        <v>Nguyễn Văn An</v>
      </c>
      <c r="E29" s="5" t="str">
        <f>IFERROR(VLOOKUP(TRIM(C29),DanhMucTacGia!$A$2:$E$81,4,FALSE),"Chưa cập nhật")</f>
        <v>P.201-A</v>
      </c>
      <c r="F29" s="6">
        <f>IFERROR(VLOOKUP(TRIM(C29),DanhMucTacGia!$A$2:$E$81,5,FALSE),"Chưa cập nhật")</f>
        <v>500000</v>
      </c>
    </row>
    <row r="30" spans="1:6" ht="22.05" customHeight="1" x14ac:dyDescent="0.3">
      <c r="A30" s="3" t="s">
        <v>66</v>
      </c>
      <c r="B30" s="4" t="s">
        <v>67</v>
      </c>
      <c r="C30" s="3" t="s">
        <v>11</v>
      </c>
      <c r="D30" s="5" t="str">
        <f>IFERROR(VLOOKUP(TRIM(C30),DanhMucTacGia!$A$2:$E$81,2,FALSE),"Chưa cập nhật")</f>
        <v>Trần Thị Bình</v>
      </c>
      <c r="E30" s="5" t="str">
        <f>IFERROR(VLOOKUP(TRIM(C30),DanhMucTacGia!$A$2:$E$81,4,FALSE),"Chưa cập nhật")</f>
        <v>P.305-B</v>
      </c>
      <c r="F30" s="6">
        <f>IFERROR(VLOOKUP(TRIM(C30),DanhMucTacGia!$A$2:$E$81,5,FALSE),"Chưa cập nhật")</f>
        <v>450000</v>
      </c>
    </row>
    <row r="31" spans="1:6" ht="22.05" customHeight="1" x14ac:dyDescent="0.3">
      <c r="A31" s="3" t="s">
        <v>68</v>
      </c>
      <c r="B31" s="4" t="s">
        <v>69</v>
      </c>
      <c r="C31" s="3" t="s">
        <v>14</v>
      </c>
      <c r="D31" s="5" t="str">
        <f>IFERROR(VLOOKUP(TRIM(C31),DanhMucTacGia!$A$2:$E$81,2,FALSE),"Chưa cập nhật")</f>
        <v>Lê Minh Châu</v>
      </c>
      <c r="E31" s="5" t="str">
        <f>IFERROR(VLOOKUP(TRIM(C31),DanhMucTacGia!$A$2:$E$81,4,FALSE),"Chưa cập nhật")</f>
        <v>P.201-A</v>
      </c>
      <c r="F31" s="6">
        <f>IFERROR(VLOOKUP(TRIM(C31),DanhMucTacGia!$A$2:$E$81,5,FALSE),"Chưa cập nhật")</f>
        <v>500000</v>
      </c>
    </row>
    <row r="32" spans="1:6" ht="22.05" customHeight="1" x14ac:dyDescent="0.3">
      <c r="A32" s="3" t="s">
        <v>70</v>
      </c>
      <c r="B32" s="4" t="s">
        <v>71</v>
      </c>
      <c r="C32" s="3" t="s">
        <v>8</v>
      </c>
      <c r="D32" s="5" t="str">
        <f>IFERROR(VLOOKUP(TRIM(C32),DanhMucTacGia!$A$2:$E$81,2,FALSE),"Chưa cập nhật")</f>
        <v>Nguyễn Văn An</v>
      </c>
      <c r="E32" s="5" t="str">
        <f>IFERROR(VLOOKUP(TRIM(C32),DanhMucTacGia!$A$2:$E$81,4,FALSE),"Chưa cập nhật")</f>
        <v>P.201-A</v>
      </c>
      <c r="F32" s="6">
        <f>IFERROR(VLOOKUP(TRIM(C32),DanhMucTacGia!$A$2:$E$81,5,FALSE),"Chưa cập nhật")</f>
        <v>500000</v>
      </c>
    </row>
    <row r="33" spans="1:6" ht="22.05" customHeight="1" x14ac:dyDescent="0.3">
      <c r="A33" s="3" t="s">
        <v>72</v>
      </c>
      <c r="B33" s="4" t="s">
        <v>73</v>
      </c>
      <c r="C33" s="3" t="s">
        <v>11</v>
      </c>
      <c r="D33" s="5" t="str">
        <f>IFERROR(VLOOKUP(TRIM(C33),DanhMucTacGia!$A$2:$E$81,2,FALSE),"Chưa cập nhật")</f>
        <v>Trần Thị Bình</v>
      </c>
      <c r="E33" s="5" t="str">
        <f>IFERROR(VLOOKUP(TRIM(C33),DanhMucTacGia!$A$2:$E$81,4,FALSE),"Chưa cập nhật")</f>
        <v>P.305-B</v>
      </c>
      <c r="F33" s="6">
        <f>IFERROR(VLOOKUP(TRIM(C33),DanhMucTacGia!$A$2:$E$81,5,FALSE),"Chưa cập nhật")</f>
        <v>450000</v>
      </c>
    </row>
    <row r="34" spans="1:6" ht="22.05" customHeight="1" x14ac:dyDescent="0.3">
      <c r="A34" s="3" t="s">
        <v>74</v>
      </c>
      <c r="B34" s="4" t="s">
        <v>75</v>
      </c>
      <c r="C34" s="3" t="s">
        <v>14</v>
      </c>
      <c r="D34" s="5" t="str">
        <f>IFERROR(VLOOKUP(TRIM(C34),DanhMucTacGia!$A$2:$E$81,2,FALSE),"Chưa cập nhật")</f>
        <v>Lê Minh Châu</v>
      </c>
      <c r="E34" s="5" t="str">
        <f>IFERROR(VLOOKUP(TRIM(C34),DanhMucTacGia!$A$2:$E$81,4,FALSE),"Chưa cập nhật")</f>
        <v>P.201-A</v>
      </c>
      <c r="F34" s="6">
        <f>IFERROR(VLOOKUP(TRIM(C34),DanhMucTacGia!$A$2:$E$81,5,FALSE),"Chưa cập nhật")</f>
        <v>500000</v>
      </c>
    </row>
    <row r="35" spans="1:6" ht="22.05" customHeight="1" x14ac:dyDescent="0.3">
      <c r="A35" s="3" t="s">
        <v>76</v>
      </c>
      <c r="B35" s="4" t="s">
        <v>77</v>
      </c>
      <c r="C35" s="3" t="s">
        <v>8</v>
      </c>
      <c r="D35" s="5" t="str">
        <f>IFERROR(VLOOKUP(TRIM(C35),DanhMucTacGia!$A$2:$E$81,2,FALSE),"Chưa cập nhật")</f>
        <v>Nguyễn Văn An</v>
      </c>
      <c r="E35" s="5" t="str">
        <f>IFERROR(VLOOKUP(TRIM(C35),DanhMucTacGia!$A$2:$E$81,4,FALSE),"Chưa cập nhật")</f>
        <v>P.201-A</v>
      </c>
      <c r="F35" s="6">
        <f>IFERROR(VLOOKUP(TRIM(C35),DanhMucTacGia!$A$2:$E$81,5,FALSE),"Chưa cập nhật")</f>
        <v>500000</v>
      </c>
    </row>
    <row r="36" spans="1:6" ht="22.05" customHeight="1" x14ac:dyDescent="0.3">
      <c r="A36" s="3" t="s">
        <v>78</v>
      </c>
      <c r="B36" s="4" t="s">
        <v>79</v>
      </c>
      <c r="C36" s="3" t="s">
        <v>11</v>
      </c>
      <c r="D36" s="5" t="str">
        <f>IFERROR(VLOOKUP(TRIM(C36),DanhMucTacGia!$A$2:$E$81,2,FALSE),"Chưa cập nhật")</f>
        <v>Trần Thị Bình</v>
      </c>
      <c r="E36" s="5" t="str">
        <f>IFERROR(VLOOKUP(TRIM(C36),DanhMucTacGia!$A$2:$E$81,4,FALSE),"Chưa cập nhật")</f>
        <v>P.305-B</v>
      </c>
      <c r="F36" s="6">
        <f>IFERROR(VLOOKUP(TRIM(C36),DanhMucTacGia!$A$2:$E$81,5,FALSE),"Chưa cập nhật")</f>
        <v>450000</v>
      </c>
    </row>
    <row r="37" spans="1:6" ht="22.05" customHeight="1" x14ac:dyDescent="0.3">
      <c r="A37" s="3" t="s">
        <v>80</v>
      </c>
      <c r="B37" s="4" t="s">
        <v>81</v>
      </c>
      <c r="C37" s="3" t="s">
        <v>14</v>
      </c>
      <c r="D37" s="5" t="str">
        <f>IFERROR(VLOOKUP(TRIM(C37),DanhMucTacGia!$A$2:$E$81,2,FALSE),"Chưa cập nhật")</f>
        <v>Lê Minh Châu</v>
      </c>
      <c r="E37" s="5" t="str">
        <f>IFERROR(VLOOKUP(TRIM(C37),DanhMucTacGia!$A$2:$E$81,4,FALSE),"Chưa cập nhật")</f>
        <v>P.201-A</v>
      </c>
      <c r="F37" s="6">
        <f>IFERROR(VLOOKUP(TRIM(C37),DanhMucTacGia!$A$2:$E$81,5,FALSE),"Chưa cập nhật")</f>
        <v>500000</v>
      </c>
    </row>
    <row r="38" spans="1:6" ht="22.05" customHeight="1" x14ac:dyDescent="0.3">
      <c r="A38" s="3" t="s">
        <v>82</v>
      </c>
      <c r="B38" s="4" t="s">
        <v>83</v>
      </c>
      <c r="C38" s="3" t="s">
        <v>8</v>
      </c>
      <c r="D38" s="5" t="str">
        <f>IFERROR(VLOOKUP(TRIM(C38),DanhMucTacGia!$A$2:$E$81,2,FALSE),"Chưa cập nhật")</f>
        <v>Nguyễn Văn An</v>
      </c>
      <c r="E38" s="5" t="str">
        <f>IFERROR(VLOOKUP(TRIM(C38),DanhMucTacGia!$A$2:$E$81,4,FALSE),"Chưa cập nhật")</f>
        <v>P.201-A</v>
      </c>
      <c r="F38" s="6">
        <f>IFERROR(VLOOKUP(TRIM(C38),DanhMucTacGia!$A$2:$E$81,5,FALSE),"Chưa cập nhật")</f>
        <v>500000</v>
      </c>
    </row>
    <row r="39" spans="1:6" ht="22.05" customHeight="1" x14ac:dyDescent="0.3">
      <c r="A39" s="3" t="s">
        <v>84</v>
      </c>
      <c r="B39" s="4" t="s">
        <v>85</v>
      </c>
      <c r="C39" s="3" t="s">
        <v>11</v>
      </c>
      <c r="D39" s="5" t="str">
        <f>IFERROR(VLOOKUP(TRIM(C39),DanhMucTacGia!$A$2:$E$81,2,FALSE),"Chưa cập nhật")</f>
        <v>Trần Thị Bình</v>
      </c>
      <c r="E39" s="5" t="str">
        <f>IFERROR(VLOOKUP(TRIM(C39),DanhMucTacGia!$A$2:$E$81,4,FALSE),"Chưa cập nhật")</f>
        <v>P.305-B</v>
      </c>
      <c r="F39" s="6">
        <f>IFERROR(VLOOKUP(TRIM(C39),DanhMucTacGia!$A$2:$E$81,5,FALSE),"Chưa cập nhật")</f>
        <v>450000</v>
      </c>
    </row>
    <row r="40" spans="1:6" ht="22.05" customHeight="1" x14ac:dyDescent="0.3">
      <c r="A40" s="3" t="s">
        <v>86</v>
      </c>
      <c r="B40" s="4" t="s">
        <v>87</v>
      </c>
      <c r="C40" s="3" t="s">
        <v>14</v>
      </c>
      <c r="D40" s="5" t="str">
        <f>IFERROR(VLOOKUP(TRIM(C40),DanhMucTacGia!$A$2:$E$81,2,FALSE),"Chưa cập nhật")</f>
        <v>Lê Minh Châu</v>
      </c>
      <c r="E40" s="5" t="str">
        <f>IFERROR(VLOOKUP(TRIM(C40),DanhMucTacGia!$A$2:$E$81,4,FALSE),"Chưa cập nhật")</f>
        <v>P.201-A</v>
      </c>
      <c r="F40" s="6">
        <f>IFERROR(VLOOKUP(TRIM(C40),DanhMucTacGia!$A$2:$E$81,5,FALSE),"Chưa cập nhật")</f>
        <v>500000</v>
      </c>
    </row>
    <row r="41" spans="1:6" ht="22.05" customHeight="1" x14ac:dyDescent="0.3">
      <c r="A41" s="3" t="s">
        <v>88</v>
      </c>
      <c r="B41" s="4" t="s">
        <v>89</v>
      </c>
      <c r="C41" s="3" t="s">
        <v>8</v>
      </c>
      <c r="D41" s="5" t="str">
        <f>IFERROR(VLOOKUP(TRIM(C41),DanhMucTacGia!$A$2:$E$81,2,FALSE),"Chưa cập nhật")</f>
        <v>Nguyễn Văn An</v>
      </c>
      <c r="E41" s="5" t="str">
        <f>IFERROR(VLOOKUP(TRIM(C41),DanhMucTacGia!$A$2:$E$81,4,FALSE),"Chưa cập nhật")</f>
        <v>P.201-A</v>
      </c>
      <c r="F41" s="6">
        <f>IFERROR(VLOOKUP(TRIM(C41),DanhMucTacGia!$A$2:$E$81,5,FALSE),"Chưa cập nhật")</f>
        <v>500000</v>
      </c>
    </row>
    <row r="42" spans="1:6" ht="22.05" customHeight="1" x14ac:dyDescent="0.3">
      <c r="A42" s="3" t="s">
        <v>90</v>
      </c>
      <c r="B42" s="4" t="s">
        <v>91</v>
      </c>
      <c r="C42" s="3" t="s">
        <v>11</v>
      </c>
      <c r="D42" s="5" t="str">
        <f>IFERROR(VLOOKUP(TRIM(C42),DanhMucTacGia!$A$2:$E$81,2,FALSE),"Chưa cập nhật")</f>
        <v>Trần Thị Bình</v>
      </c>
      <c r="E42" s="5" t="str">
        <f>IFERROR(VLOOKUP(TRIM(C42),DanhMucTacGia!$A$2:$E$81,4,FALSE),"Chưa cập nhật")</f>
        <v>P.305-B</v>
      </c>
      <c r="F42" s="6">
        <f>IFERROR(VLOOKUP(TRIM(C42),DanhMucTacGia!$A$2:$E$81,5,FALSE),"Chưa cập nhật")</f>
        <v>450000</v>
      </c>
    </row>
    <row r="43" spans="1:6" ht="22.05" customHeight="1" x14ac:dyDescent="0.3">
      <c r="A43" s="3" t="s">
        <v>92</v>
      </c>
      <c r="B43" s="4" t="s">
        <v>93</v>
      </c>
      <c r="C43" s="3" t="s">
        <v>14</v>
      </c>
      <c r="D43" s="5" t="str">
        <f>IFERROR(VLOOKUP(TRIM(C43),DanhMucTacGia!$A$2:$E$81,2,FALSE),"Chưa cập nhật")</f>
        <v>Lê Minh Châu</v>
      </c>
      <c r="E43" s="5" t="str">
        <f>IFERROR(VLOOKUP(TRIM(C43),DanhMucTacGia!$A$2:$E$81,4,FALSE),"Chưa cập nhật")</f>
        <v>P.201-A</v>
      </c>
      <c r="F43" s="6">
        <f>IFERROR(VLOOKUP(TRIM(C43),DanhMucTacGia!$A$2:$E$81,5,FALSE),"Chưa cập nhật")</f>
        <v>500000</v>
      </c>
    </row>
    <row r="44" spans="1:6" ht="22.05" customHeight="1" x14ac:dyDescent="0.3">
      <c r="A44" s="3" t="s">
        <v>94</v>
      </c>
      <c r="B44" s="4" t="s">
        <v>95</v>
      </c>
      <c r="C44" s="3" t="s">
        <v>8</v>
      </c>
      <c r="D44" s="5" t="str">
        <f>IFERROR(VLOOKUP(TRIM(C44),DanhMucTacGia!$A$2:$E$81,2,FALSE),"Chưa cập nhật")</f>
        <v>Nguyễn Văn An</v>
      </c>
      <c r="E44" s="5" t="str">
        <f>IFERROR(VLOOKUP(TRIM(C44),DanhMucTacGia!$A$2:$E$81,4,FALSE),"Chưa cập nhật")</f>
        <v>P.201-A</v>
      </c>
      <c r="F44" s="6">
        <f>IFERROR(VLOOKUP(TRIM(C44),DanhMucTacGia!$A$2:$E$81,5,FALSE),"Chưa cập nhật")</f>
        <v>500000</v>
      </c>
    </row>
    <row r="45" spans="1:6" ht="22.05" customHeight="1" x14ac:dyDescent="0.3">
      <c r="A45" s="3" t="s">
        <v>96</v>
      </c>
      <c r="B45" s="4" t="s">
        <v>97</v>
      </c>
      <c r="C45" s="3" t="s">
        <v>11</v>
      </c>
      <c r="D45" s="5" t="str">
        <f>IFERROR(VLOOKUP(TRIM(C45),DanhMucTacGia!$A$2:$E$81,2,FALSE),"Chưa cập nhật")</f>
        <v>Trần Thị Bình</v>
      </c>
      <c r="E45" s="5" t="str">
        <f>IFERROR(VLOOKUP(TRIM(C45),DanhMucTacGia!$A$2:$E$81,4,FALSE),"Chưa cập nhật")</f>
        <v>P.305-B</v>
      </c>
      <c r="F45" s="6">
        <f>IFERROR(VLOOKUP(TRIM(C45),DanhMucTacGia!$A$2:$E$81,5,FALSE),"Chưa cập nhật")</f>
        <v>450000</v>
      </c>
    </row>
    <row r="46" spans="1:6" ht="22.05" customHeight="1" x14ac:dyDescent="0.3">
      <c r="A46" s="3" t="s">
        <v>98</v>
      </c>
      <c r="B46" s="4" t="s">
        <v>99</v>
      </c>
      <c r="C46" s="3" t="s">
        <v>14</v>
      </c>
      <c r="D46" s="5" t="str">
        <f>IFERROR(VLOOKUP(TRIM(C46),DanhMucTacGia!$A$2:$E$81,2,FALSE),"Chưa cập nhật")</f>
        <v>Lê Minh Châu</v>
      </c>
      <c r="E46" s="5" t="str">
        <f>IFERROR(VLOOKUP(TRIM(C46),DanhMucTacGia!$A$2:$E$81,4,FALSE),"Chưa cập nhật")</f>
        <v>P.201-A</v>
      </c>
      <c r="F46" s="6">
        <f>IFERROR(VLOOKUP(TRIM(C46),DanhMucTacGia!$A$2:$E$81,5,FALSE),"Chưa cập nhật")</f>
        <v>500000</v>
      </c>
    </row>
    <row r="47" spans="1:6" ht="22.05" customHeight="1" x14ac:dyDescent="0.3">
      <c r="A47" s="3" t="s">
        <v>100</v>
      </c>
      <c r="B47" s="4" t="s">
        <v>101</v>
      </c>
      <c r="C47" s="3" t="s">
        <v>8</v>
      </c>
      <c r="D47" s="5" t="str">
        <f>IFERROR(VLOOKUP(TRIM(C47),DanhMucTacGia!$A$2:$E$81,2,FALSE),"Chưa cập nhật")</f>
        <v>Nguyễn Văn An</v>
      </c>
      <c r="E47" s="5" t="str">
        <f>IFERROR(VLOOKUP(TRIM(C47),DanhMucTacGia!$A$2:$E$81,4,FALSE),"Chưa cập nhật")</f>
        <v>P.201-A</v>
      </c>
      <c r="F47" s="6">
        <f>IFERROR(VLOOKUP(TRIM(C47),DanhMucTacGia!$A$2:$E$81,5,FALSE),"Chưa cập nhật")</f>
        <v>500000</v>
      </c>
    </row>
    <row r="48" spans="1:6" ht="22.05" customHeight="1" x14ac:dyDescent="0.3">
      <c r="A48" s="3" t="s">
        <v>102</v>
      </c>
      <c r="B48" s="4" t="s">
        <v>103</v>
      </c>
      <c r="C48" s="3" t="s">
        <v>11</v>
      </c>
      <c r="D48" s="5" t="str">
        <f>IFERROR(VLOOKUP(TRIM(C48),DanhMucTacGia!$A$2:$E$81,2,FALSE),"Chưa cập nhật")</f>
        <v>Trần Thị Bình</v>
      </c>
      <c r="E48" s="5" t="str">
        <f>IFERROR(VLOOKUP(TRIM(C48),DanhMucTacGia!$A$2:$E$81,4,FALSE),"Chưa cập nhật")</f>
        <v>P.305-B</v>
      </c>
      <c r="F48" s="6">
        <f>IFERROR(VLOOKUP(TRIM(C48),DanhMucTacGia!$A$2:$E$81,5,FALSE),"Chưa cập nhật")</f>
        <v>450000</v>
      </c>
    </row>
    <row r="49" spans="1:6" ht="22.05" customHeight="1" x14ac:dyDescent="0.3">
      <c r="A49" s="3" t="s">
        <v>104</v>
      </c>
      <c r="B49" s="4" t="s">
        <v>105</v>
      </c>
      <c r="C49" s="3" t="s">
        <v>14</v>
      </c>
      <c r="D49" s="5" t="str">
        <f>IFERROR(VLOOKUP(TRIM(C49),DanhMucTacGia!$A$2:$E$81,2,FALSE),"Chưa cập nhật")</f>
        <v>Lê Minh Châu</v>
      </c>
      <c r="E49" s="5" t="str">
        <f>IFERROR(VLOOKUP(TRIM(C49),DanhMucTacGia!$A$2:$E$81,4,FALSE),"Chưa cập nhật")</f>
        <v>P.201-A</v>
      </c>
      <c r="F49" s="6">
        <f>IFERROR(VLOOKUP(TRIM(C49),DanhMucTacGia!$A$2:$E$81,5,FALSE),"Chưa cập nhật")</f>
        <v>500000</v>
      </c>
    </row>
    <row r="50" spans="1:6" ht="22.05" customHeight="1" x14ac:dyDescent="0.3">
      <c r="A50" s="3" t="s">
        <v>106</v>
      </c>
      <c r="B50" s="4" t="s">
        <v>107</v>
      </c>
      <c r="C50" s="3" t="s">
        <v>8</v>
      </c>
      <c r="D50" s="5" t="str">
        <f>IFERROR(VLOOKUP(TRIM(C50),DanhMucTacGia!$A$2:$E$81,2,FALSE),"Chưa cập nhật")</f>
        <v>Nguyễn Văn An</v>
      </c>
      <c r="E50" s="5" t="str">
        <f>IFERROR(VLOOKUP(TRIM(C50),DanhMucTacGia!$A$2:$E$81,4,FALSE),"Chưa cập nhật")</f>
        <v>P.201-A</v>
      </c>
      <c r="F50" s="6">
        <f>IFERROR(VLOOKUP(TRIM(C50),DanhMucTacGia!$A$2:$E$81,5,FALSE),"Chưa cập nhật")</f>
        <v>500000</v>
      </c>
    </row>
    <row r="51" spans="1:6" ht="22.05" customHeight="1" x14ac:dyDescent="0.3">
      <c r="A51" s="3" t="s">
        <v>108</v>
      </c>
      <c r="B51" s="4" t="s">
        <v>109</v>
      </c>
      <c r="C51" s="3" t="s">
        <v>11</v>
      </c>
      <c r="D51" s="5" t="str">
        <f>IFERROR(VLOOKUP(TRIM(C51),DanhMucTacGia!$A$2:$E$81,2,FALSE),"Chưa cập nhật")</f>
        <v>Trần Thị Bình</v>
      </c>
      <c r="E51" s="5" t="str">
        <f>IFERROR(VLOOKUP(TRIM(C51),DanhMucTacGia!$A$2:$E$81,4,FALSE),"Chưa cập nhật")</f>
        <v>P.305-B</v>
      </c>
      <c r="F51" s="6">
        <f>IFERROR(VLOOKUP(TRIM(C51),DanhMucTacGia!$A$2:$E$81,5,FALSE),"Chưa cập nhật")</f>
        <v>450000</v>
      </c>
    </row>
    <row r="52" spans="1:6" ht="22.05" customHeight="1" x14ac:dyDescent="0.3">
      <c r="A52" s="3" t="s">
        <v>110</v>
      </c>
      <c r="B52" s="4" t="s">
        <v>111</v>
      </c>
      <c r="C52" s="3" t="s">
        <v>14</v>
      </c>
      <c r="D52" s="5" t="str">
        <f>IFERROR(VLOOKUP(TRIM(C52),DanhMucTacGia!$A$2:$E$81,2,FALSE),"Chưa cập nhật")</f>
        <v>Lê Minh Châu</v>
      </c>
      <c r="E52" s="5" t="str">
        <f>IFERROR(VLOOKUP(TRIM(C52),DanhMucTacGia!$A$2:$E$81,4,FALSE),"Chưa cập nhật")</f>
        <v>P.201-A</v>
      </c>
      <c r="F52" s="6">
        <f>IFERROR(VLOOKUP(TRIM(C52),DanhMucTacGia!$A$2:$E$81,5,FALSE),"Chưa cập nhật")</f>
        <v>500000</v>
      </c>
    </row>
    <row r="53" spans="1:6" ht="22.05" customHeight="1" x14ac:dyDescent="0.3">
      <c r="A53" s="3" t="s">
        <v>112</v>
      </c>
      <c r="B53" s="4" t="s">
        <v>113</v>
      </c>
      <c r="C53" s="3" t="s">
        <v>8</v>
      </c>
      <c r="D53" s="5" t="str">
        <f>IFERROR(VLOOKUP(TRIM(C53),DanhMucTacGia!$A$2:$E$81,2,FALSE),"Chưa cập nhật")</f>
        <v>Nguyễn Văn An</v>
      </c>
      <c r="E53" s="5" t="str">
        <f>IFERROR(VLOOKUP(TRIM(C53),DanhMucTacGia!$A$2:$E$81,4,FALSE),"Chưa cập nhật")</f>
        <v>P.201-A</v>
      </c>
      <c r="F53" s="6">
        <f>IFERROR(VLOOKUP(TRIM(C53),DanhMucTacGia!$A$2:$E$81,5,FALSE),"Chưa cập nhật")</f>
        <v>500000</v>
      </c>
    </row>
    <row r="54" spans="1:6" ht="22.05" customHeight="1" x14ac:dyDescent="0.3">
      <c r="A54" s="3" t="s">
        <v>114</v>
      </c>
      <c r="B54" s="4" t="s">
        <v>115</v>
      </c>
      <c r="C54" s="3" t="s">
        <v>11</v>
      </c>
      <c r="D54" s="5" t="str">
        <f>IFERROR(VLOOKUP(TRIM(C54),DanhMucTacGia!$A$2:$E$81,2,FALSE),"Chưa cập nhật")</f>
        <v>Trần Thị Bình</v>
      </c>
      <c r="E54" s="5" t="str">
        <f>IFERROR(VLOOKUP(TRIM(C54),DanhMucTacGia!$A$2:$E$81,4,FALSE),"Chưa cập nhật")</f>
        <v>P.305-B</v>
      </c>
      <c r="F54" s="6">
        <f>IFERROR(VLOOKUP(TRIM(C54),DanhMucTacGia!$A$2:$E$81,5,FALSE),"Chưa cập nhật")</f>
        <v>450000</v>
      </c>
    </row>
    <row r="55" spans="1:6" ht="22.05" customHeight="1" x14ac:dyDescent="0.3">
      <c r="A55" s="3" t="s">
        <v>116</v>
      </c>
      <c r="B55" s="4" t="s">
        <v>117</v>
      </c>
      <c r="C55" s="3" t="s">
        <v>14</v>
      </c>
      <c r="D55" s="5" t="str">
        <f>IFERROR(VLOOKUP(TRIM(C55),DanhMucTacGia!$A$2:$E$81,2,FALSE),"Chưa cập nhật")</f>
        <v>Lê Minh Châu</v>
      </c>
      <c r="E55" s="5" t="str">
        <f>IFERROR(VLOOKUP(TRIM(C55),DanhMucTacGia!$A$2:$E$81,4,FALSE),"Chưa cập nhật")</f>
        <v>P.201-A</v>
      </c>
      <c r="F55" s="6">
        <f>IFERROR(VLOOKUP(TRIM(C55),DanhMucTacGia!$A$2:$E$81,5,FALSE),"Chưa cập nhật")</f>
        <v>500000</v>
      </c>
    </row>
    <row r="56" spans="1:6" ht="22.05" customHeight="1" x14ac:dyDescent="0.3">
      <c r="A56" s="3" t="s">
        <v>118</v>
      </c>
      <c r="B56" s="4" t="s">
        <v>119</v>
      </c>
      <c r="C56" s="3" t="s">
        <v>8</v>
      </c>
      <c r="D56" s="5" t="str">
        <f>IFERROR(VLOOKUP(TRIM(C56),DanhMucTacGia!$A$2:$E$81,2,FALSE),"Chưa cập nhật")</f>
        <v>Nguyễn Văn An</v>
      </c>
      <c r="E56" s="5" t="str">
        <f>IFERROR(VLOOKUP(TRIM(C56),DanhMucTacGia!$A$2:$E$81,4,FALSE),"Chưa cập nhật")</f>
        <v>P.201-A</v>
      </c>
      <c r="F56" s="6">
        <f>IFERROR(VLOOKUP(TRIM(C56),DanhMucTacGia!$A$2:$E$81,5,FALSE),"Chưa cập nhật")</f>
        <v>500000</v>
      </c>
    </row>
    <row r="57" spans="1:6" ht="22.05" customHeight="1" x14ac:dyDescent="0.3">
      <c r="A57" s="3" t="s">
        <v>120</v>
      </c>
      <c r="B57" s="4" t="s">
        <v>121</v>
      </c>
      <c r="C57" s="3" t="s">
        <v>11</v>
      </c>
      <c r="D57" s="5" t="str">
        <f>IFERROR(VLOOKUP(TRIM(C57),DanhMucTacGia!$A$2:$E$81,2,FALSE),"Chưa cập nhật")</f>
        <v>Trần Thị Bình</v>
      </c>
      <c r="E57" s="5" t="str">
        <f>IFERROR(VLOOKUP(TRIM(C57),DanhMucTacGia!$A$2:$E$81,4,FALSE),"Chưa cập nhật")</f>
        <v>P.305-B</v>
      </c>
      <c r="F57" s="6">
        <f>IFERROR(VLOOKUP(TRIM(C57),DanhMucTacGia!$A$2:$E$81,5,FALSE),"Chưa cập nhật")</f>
        <v>450000</v>
      </c>
    </row>
    <row r="58" spans="1:6" ht="22.05" customHeight="1" x14ac:dyDescent="0.3">
      <c r="A58" s="3" t="s">
        <v>122</v>
      </c>
      <c r="B58" s="4" t="s">
        <v>123</v>
      </c>
      <c r="C58" s="3" t="s">
        <v>14</v>
      </c>
      <c r="D58" s="5" t="str">
        <f>IFERROR(VLOOKUP(TRIM(C58),DanhMucTacGia!$A$2:$E$81,2,FALSE),"Chưa cập nhật")</f>
        <v>Lê Minh Châu</v>
      </c>
      <c r="E58" s="5" t="str">
        <f>IFERROR(VLOOKUP(TRIM(C58),DanhMucTacGia!$A$2:$E$81,4,FALSE),"Chưa cập nhật")</f>
        <v>P.201-A</v>
      </c>
      <c r="F58" s="6">
        <f>IFERROR(VLOOKUP(TRIM(C58),DanhMucTacGia!$A$2:$E$81,5,FALSE),"Chưa cập nhật")</f>
        <v>500000</v>
      </c>
    </row>
    <row r="59" spans="1:6" ht="22.05" customHeight="1" x14ac:dyDescent="0.3">
      <c r="A59" s="3" t="s">
        <v>124</v>
      </c>
      <c r="B59" s="4" t="s">
        <v>125</v>
      </c>
      <c r="C59" s="3" t="s">
        <v>8</v>
      </c>
      <c r="D59" s="5" t="str">
        <f>IFERROR(VLOOKUP(TRIM(C59),DanhMucTacGia!$A$2:$E$81,2,FALSE),"Chưa cập nhật")</f>
        <v>Nguyễn Văn An</v>
      </c>
      <c r="E59" s="5" t="str">
        <f>IFERROR(VLOOKUP(TRIM(C59),DanhMucTacGia!$A$2:$E$81,4,FALSE),"Chưa cập nhật")</f>
        <v>P.201-A</v>
      </c>
      <c r="F59" s="6">
        <f>IFERROR(VLOOKUP(TRIM(C59),DanhMucTacGia!$A$2:$E$81,5,FALSE),"Chưa cập nhật")</f>
        <v>500000</v>
      </c>
    </row>
    <row r="60" spans="1:6" ht="22.05" customHeight="1" x14ac:dyDescent="0.3">
      <c r="A60" s="3" t="s">
        <v>126</v>
      </c>
      <c r="B60" s="4" t="s">
        <v>127</v>
      </c>
      <c r="C60" s="3" t="s">
        <v>11</v>
      </c>
      <c r="D60" s="5" t="str">
        <f>IFERROR(VLOOKUP(TRIM(C60),DanhMucTacGia!$A$2:$E$81,2,FALSE),"Chưa cập nhật")</f>
        <v>Trần Thị Bình</v>
      </c>
      <c r="E60" s="5" t="str">
        <f>IFERROR(VLOOKUP(TRIM(C60),DanhMucTacGia!$A$2:$E$81,4,FALSE),"Chưa cập nhật")</f>
        <v>P.305-B</v>
      </c>
      <c r="F60" s="6">
        <f>IFERROR(VLOOKUP(TRIM(C60),DanhMucTacGia!$A$2:$E$81,5,FALSE),"Chưa cập nhật")</f>
        <v>450000</v>
      </c>
    </row>
    <row r="61" spans="1:6" ht="22.05" customHeight="1" x14ac:dyDescent="0.3">
      <c r="A61" s="3" t="s">
        <v>128</v>
      </c>
      <c r="B61" s="4" t="s">
        <v>129</v>
      </c>
      <c r="C61" s="3" t="s">
        <v>14</v>
      </c>
      <c r="D61" s="5" t="str">
        <f>IFERROR(VLOOKUP(TRIM(C61),DanhMucTacGia!$A$2:$E$81,2,FALSE),"Chưa cập nhật")</f>
        <v>Lê Minh Châu</v>
      </c>
      <c r="E61" s="5" t="str">
        <f>IFERROR(VLOOKUP(TRIM(C61),DanhMucTacGia!$A$2:$E$81,4,FALSE),"Chưa cập nhật")</f>
        <v>P.201-A</v>
      </c>
      <c r="F61" s="6">
        <f>IFERROR(VLOOKUP(TRIM(C61),DanhMucTacGia!$A$2:$E$81,5,FALSE),"Chưa cập nhật")</f>
        <v>500000</v>
      </c>
    </row>
    <row r="62" spans="1:6" ht="22.05" customHeight="1" x14ac:dyDescent="0.3">
      <c r="A62" s="3" t="s">
        <v>130</v>
      </c>
      <c r="B62" s="4" t="s">
        <v>131</v>
      </c>
      <c r="C62" s="3" t="s">
        <v>8</v>
      </c>
      <c r="D62" s="5" t="str">
        <f>IFERROR(VLOOKUP(TRIM(C62),DanhMucTacGia!$A$2:$E$81,2,FALSE),"Chưa cập nhật")</f>
        <v>Nguyễn Văn An</v>
      </c>
      <c r="E62" s="5" t="str">
        <f>IFERROR(VLOOKUP(TRIM(C62),DanhMucTacGia!$A$2:$E$81,4,FALSE),"Chưa cập nhật")</f>
        <v>P.201-A</v>
      </c>
      <c r="F62" s="6">
        <f>IFERROR(VLOOKUP(TRIM(C62),DanhMucTacGia!$A$2:$E$81,5,FALSE),"Chưa cập nhật")</f>
        <v>500000</v>
      </c>
    </row>
    <row r="63" spans="1:6" ht="22.05" customHeight="1" x14ac:dyDescent="0.3">
      <c r="A63" s="3" t="s">
        <v>132</v>
      </c>
      <c r="B63" s="4" t="s">
        <v>133</v>
      </c>
      <c r="C63" s="3" t="s">
        <v>11</v>
      </c>
      <c r="D63" s="5" t="str">
        <f>IFERROR(VLOOKUP(TRIM(C63),DanhMucTacGia!$A$2:$E$81,2,FALSE),"Chưa cập nhật")</f>
        <v>Trần Thị Bình</v>
      </c>
      <c r="E63" s="5" t="str">
        <f>IFERROR(VLOOKUP(TRIM(C63),DanhMucTacGia!$A$2:$E$81,4,FALSE),"Chưa cập nhật")</f>
        <v>P.305-B</v>
      </c>
      <c r="F63" s="6">
        <f>IFERROR(VLOOKUP(TRIM(C63),DanhMucTacGia!$A$2:$E$81,5,FALSE),"Chưa cập nhật")</f>
        <v>450000</v>
      </c>
    </row>
    <row r="64" spans="1:6" ht="22.05" customHeight="1" x14ac:dyDescent="0.3">
      <c r="A64" s="3" t="s">
        <v>134</v>
      </c>
      <c r="B64" s="4" t="s">
        <v>135</v>
      </c>
      <c r="C64" s="3" t="s">
        <v>14</v>
      </c>
      <c r="D64" s="5" t="str">
        <f>IFERROR(VLOOKUP(TRIM(C64),DanhMucTacGia!$A$2:$E$81,2,FALSE),"Chưa cập nhật")</f>
        <v>Lê Minh Châu</v>
      </c>
      <c r="E64" s="5" t="str">
        <f>IFERROR(VLOOKUP(TRIM(C64),DanhMucTacGia!$A$2:$E$81,4,FALSE),"Chưa cập nhật")</f>
        <v>P.201-A</v>
      </c>
      <c r="F64" s="6">
        <f>IFERROR(VLOOKUP(TRIM(C64),DanhMucTacGia!$A$2:$E$81,5,FALSE),"Chưa cập nhật")</f>
        <v>500000</v>
      </c>
    </row>
    <row r="65" spans="1:6" ht="22.05" customHeight="1" x14ac:dyDescent="0.3">
      <c r="A65" s="3" t="s">
        <v>136</v>
      </c>
      <c r="B65" s="4" t="s">
        <v>137</v>
      </c>
      <c r="C65" s="3" t="s">
        <v>8</v>
      </c>
      <c r="D65" s="5" t="str">
        <f>IFERROR(VLOOKUP(TRIM(C65),DanhMucTacGia!$A$2:$E$81,2,FALSE),"Chưa cập nhật")</f>
        <v>Nguyễn Văn An</v>
      </c>
      <c r="E65" s="5" t="str">
        <f>IFERROR(VLOOKUP(TRIM(C65),DanhMucTacGia!$A$2:$E$81,4,FALSE),"Chưa cập nhật")</f>
        <v>P.201-A</v>
      </c>
      <c r="F65" s="6">
        <f>IFERROR(VLOOKUP(TRIM(C65),DanhMucTacGia!$A$2:$E$81,5,FALSE),"Chưa cập nhật")</f>
        <v>500000</v>
      </c>
    </row>
    <row r="66" spans="1:6" ht="22.05" customHeight="1" x14ac:dyDescent="0.3">
      <c r="A66" s="3" t="s">
        <v>138</v>
      </c>
      <c r="B66" s="4" t="s">
        <v>139</v>
      </c>
      <c r="C66" s="3" t="s">
        <v>11</v>
      </c>
      <c r="D66" s="5" t="str">
        <f>IFERROR(VLOOKUP(TRIM(C66),DanhMucTacGia!$A$2:$E$81,2,FALSE),"Chưa cập nhật")</f>
        <v>Trần Thị Bình</v>
      </c>
      <c r="E66" s="5" t="str">
        <f>IFERROR(VLOOKUP(TRIM(C66),DanhMucTacGia!$A$2:$E$81,4,FALSE),"Chưa cập nhật")</f>
        <v>P.305-B</v>
      </c>
      <c r="F66" s="6">
        <f>IFERROR(VLOOKUP(TRIM(C66),DanhMucTacGia!$A$2:$E$81,5,FALSE),"Chưa cập nhật")</f>
        <v>450000</v>
      </c>
    </row>
    <row r="67" spans="1:6" ht="22.05" customHeight="1" x14ac:dyDescent="0.3">
      <c r="A67" s="3" t="s">
        <v>140</v>
      </c>
      <c r="B67" s="4" t="s">
        <v>141</v>
      </c>
      <c r="C67" s="3" t="s">
        <v>14</v>
      </c>
      <c r="D67" s="5" t="str">
        <f>IFERROR(VLOOKUP(TRIM(C67),DanhMucTacGia!$A$2:$E$81,2,FALSE),"Chưa cập nhật")</f>
        <v>Lê Minh Châu</v>
      </c>
      <c r="E67" s="5" t="str">
        <f>IFERROR(VLOOKUP(TRIM(C67),DanhMucTacGia!$A$2:$E$81,4,FALSE),"Chưa cập nhật")</f>
        <v>P.201-A</v>
      </c>
      <c r="F67" s="6">
        <f>IFERROR(VLOOKUP(TRIM(C67),DanhMucTacGia!$A$2:$E$81,5,FALSE),"Chưa cập nhật")</f>
        <v>500000</v>
      </c>
    </row>
    <row r="68" spans="1:6" ht="22.05" customHeight="1" x14ac:dyDescent="0.3">
      <c r="A68" s="3" t="s">
        <v>142</v>
      </c>
      <c r="B68" s="4" t="s">
        <v>143</v>
      </c>
      <c r="C68" s="3" t="s">
        <v>8</v>
      </c>
      <c r="D68" s="5" t="str">
        <f>IFERROR(VLOOKUP(TRIM(C68),DanhMucTacGia!$A$2:$E$81,2,FALSE),"Chưa cập nhật")</f>
        <v>Nguyễn Văn An</v>
      </c>
      <c r="E68" s="5" t="str">
        <f>IFERROR(VLOOKUP(TRIM(C68),DanhMucTacGia!$A$2:$E$81,4,FALSE),"Chưa cập nhật")</f>
        <v>P.201-A</v>
      </c>
      <c r="F68" s="6">
        <f>IFERROR(VLOOKUP(TRIM(C68),DanhMucTacGia!$A$2:$E$81,5,FALSE),"Chưa cập nhật")</f>
        <v>500000</v>
      </c>
    </row>
    <row r="69" spans="1:6" ht="22.05" customHeight="1" x14ac:dyDescent="0.3">
      <c r="A69" s="3" t="s">
        <v>144</v>
      </c>
      <c r="B69" s="4" t="s">
        <v>145</v>
      </c>
      <c r="C69" s="3" t="s">
        <v>11</v>
      </c>
      <c r="D69" s="5" t="str">
        <f>IFERROR(VLOOKUP(TRIM(C69),DanhMucTacGia!$A$2:$E$81,2,FALSE),"Chưa cập nhật")</f>
        <v>Trần Thị Bình</v>
      </c>
      <c r="E69" s="5" t="str">
        <f>IFERROR(VLOOKUP(TRIM(C69),DanhMucTacGia!$A$2:$E$81,4,FALSE),"Chưa cập nhật")</f>
        <v>P.305-B</v>
      </c>
      <c r="F69" s="6">
        <f>IFERROR(VLOOKUP(TRIM(C69),DanhMucTacGia!$A$2:$E$81,5,FALSE),"Chưa cập nhật")</f>
        <v>450000</v>
      </c>
    </row>
    <row r="70" spans="1:6" ht="22.05" customHeight="1" x14ac:dyDescent="0.3">
      <c r="A70" s="3" t="s">
        <v>146</v>
      </c>
      <c r="B70" s="4" t="s">
        <v>147</v>
      </c>
      <c r="C70" s="3" t="s">
        <v>14</v>
      </c>
      <c r="D70" s="5" t="str">
        <f>IFERROR(VLOOKUP(TRIM(C70),DanhMucTacGia!$A$2:$E$81,2,FALSE),"Chưa cập nhật")</f>
        <v>Lê Minh Châu</v>
      </c>
      <c r="E70" s="5" t="str">
        <f>IFERROR(VLOOKUP(TRIM(C70),DanhMucTacGia!$A$2:$E$81,4,FALSE),"Chưa cập nhật")</f>
        <v>P.201-A</v>
      </c>
      <c r="F70" s="6">
        <f>IFERROR(VLOOKUP(TRIM(C70),DanhMucTacGia!$A$2:$E$81,5,FALSE),"Chưa cập nhật")</f>
        <v>500000</v>
      </c>
    </row>
    <row r="71" spans="1:6" ht="22.05" customHeight="1" x14ac:dyDescent="0.3">
      <c r="A71" s="3" t="s">
        <v>148</v>
      </c>
      <c r="B71" s="4" t="s">
        <v>149</v>
      </c>
      <c r="C71" s="3" t="s">
        <v>8</v>
      </c>
      <c r="D71" s="5" t="str">
        <f>IFERROR(VLOOKUP(TRIM(C71),DanhMucTacGia!$A$2:$E$81,2,FALSE),"Chưa cập nhật")</f>
        <v>Nguyễn Văn An</v>
      </c>
      <c r="E71" s="5" t="str">
        <f>IFERROR(VLOOKUP(TRIM(C71),DanhMucTacGia!$A$2:$E$81,4,FALSE),"Chưa cập nhật")</f>
        <v>P.201-A</v>
      </c>
      <c r="F71" s="6">
        <f>IFERROR(VLOOKUP(TRIM(C71),DanhMucTacGia!$A$2:$E$81,5,FALSE),"Chưa cập nhật")</f>
        <v>500000</v>
      </c>
    </row>
    <row r="72" spans="1:6" ht="22.05" customHeight="1" x14ac:dyDescent="0.3">
      <c r="A72" s="3" t="s">
        <v>150</v>
      </c>
      <c r="B72" s="4" t="s">
        <v>151</v>
      </c>
      <c r="C72" s="3" t="s">
        <v>11</v>
      </c>
      <c r="D72" s="5" t="str">
        <f>IFERROR(VLOOKUP(TRIM(C72),DanhMucTacGia!$A$2:$E$81,2,FALSE),"Chưa cập nhật")</f>
        <v>Trần Thị Bình</v>
      </c>
      <c r="E72" s="5" t="str">
        <f>IFERROR(VLOOKUP(TRIM(C72),DanhMucTacGia!$A$2:$E$81,4,FALSE),"Chưa cập nhật")</f>
        <v>P.305-B</v>
      </c>
      <c r="F72" s="6">
        <f>IFERROR(VLOOKUP(TRIM(C72),DanhMucTacGia!$A$2:$E$81,5,FALSE),"Chưa cập nhật")</f>
        <v>450000</v>
      </c>
    </row>
    <row r="73" spans="1:6" ht="22.05" customHeight="1" x14ac:dyDescent="0.3">
      <c r="A73" s="3" t="s">
        <v>152</v>
      </c>
      <c r="B73" s="4" t="s">
        <v>153</v>
      </c>
      <c r="C73" s="3" t="s">
        <v>14</v>
      </c>
      <c r="D73" s="5" t="str">
        <f>IFERROR(VLOOKUP(TRIM(C73),DanhMucTacGia!$A$2:$E$81,2,FALSE),"Chưa cập nhật")</f>
        <v>Lê Minh Châu</v>
      </c>
      <c r="E73" s="5" t="str">
        <f>IFERROR(VLOOKUP(TRIM(C73),DanhMucTacGia!$A$2:$E$81,4,FALSE),"Chưa cập nhật")</f>
        <v>P.201-A</v>
      </c>
      <c r="F73" s="6">
        <f>IFERROR(VLOOKUP(TRIM(C73),DanhMucTacGia!$A$2:$E$81,5,FALSE),"Chưa cập nhật")</f>
        <v>500000</v>
      </c>
    </row>
    <row r="74" spans="1:6" ht="22.05" customHeight="1" x14ac:dyDescent="0.3">
      <c r="A74" s="3" t="s">
        <v>154</v>
      </c>
      <c r="B74" s="4" t="s">
        <v>155</v>
      </c>
      <c r="C74" s="3" t="s">
        <v>8</v>
      </c>
      <c r="D74" s="5" t="str">
        <f>IFERROR(VLOOKUP(TRIM(C74),DanhMucTacGia!$A$2:$E$81,2,FALSE),"Chưa cập nhật")</f>
        <v>Nguyễn Văn An</v>
      </c>
      <c r="E74" s="5" t="str">
        <f>IFERROR(VLOOKUP(TRIM(C74),DanhMucTacGia!$A$2:$E$81,4,FALSE),"Chưa cập nhật")</f>
        <v>P.201-A</v>
      </c>
      <c r="F74" s="6">
        <f>IFERROR(VLOOKUP(TRIM(C74),DanhMucTacGia!$A$2:$E$81,5,FALSE),"Chưa cập nhật")</f>
        <v>500000</v>
      </c>
    </row>
    <row r="75" spans="1:6" ht="22.05" customHeight="1" x14ac:dyDescent="0.3">
      <c r="A75" s="3" t="s">
        <v>156</v>
      </c>
      <c r="B75" s="4" t="s">
        <v>157</v>
      </c>
      <c r="C75" s="3" t="s">
        <v>11</v>
      </c>
      <c r="D75" s="5" t="str">
        <f>IFERROR(VLOOKUP(TRIM(C75),DanhMucTacGia!$A$2:$E$81,2,FALSE),"Chưa cập nhật")</f>
        <v>Trần Thị Bình</v>
      </c>
      <c r="E75" s="5" t="str">
        <f>IFERROR(VLOOKUP(TRIM(C75),DanhMucTacGia!$A$2:$E$81,4,FALSE),"Chưa cập nhật")</f>
        <v>P.305-B</v>
      </c>
      <c r="F75" s="6">
        <f>IFERROR(VLOOKUP(TRIM(C75),DanhMucTacGia!$A$2:$E$81,5,FALSE),"Chưa cập nhật")</f>
        <v>450000</v>
      </c>
    </row>
    <row r="76" spans="1:6" ht="22.05" customHeight="1" x14ac:dyDescent="0.3">
      <c r="A76" s="3" t="s">
        <v>158</v>
      </c>
      <c r="B76" s="4" t="s">
        <v>159</v>
      </c>
      <c r="C76" s="3" t="s">
        <v>14</v>
      </c>
      <c r="D76" s="5" t="str">
        <f>IFERROR(VLOOKUP(TRIM(C76),DanhMucTacGia!$A$2:$E$81,2,FALSE),"Chưa cập nhật")</f>
        <v>Lê Minh Châu</v>
      </c>
      <c r="E76" s="5" t="str">
        <f>IFERROR(VLOOKUP(TRIM(C76),DanhMucTacGia!$A$2:$E$81,4,FALSE),"Chưa cập nhật")</f>
        <v>P.201-A</v>
      </c>
      <c r="F76" s="6">
        <f>IFERROR(VLOOKUP(TRIM(C76),DanhMucTacGia!$A$2:$E$81,5,FALSE),"Chưa cập nhật")</f>
        <v>500000</v>
      </c>
    </row>
    <row r="77" spans="1:6" ht="22.05" customHeight="1" x14ac:dyDescent="0.3">
      <c r="A77" s="3" t="s">
        <v>160</v>
      </c>
      <c r="B77" s="4" t="s">
        <v>161</v>
      </c>
      <c r="C77" s="3" t="s">
        <v>8</v>
      </c>
      <c r="D77" s="5" t="str">
        <f>IFERROR(VLOOKUP(TRIM(C77),DanhMucTacGia!$A$2:$E$81,2,FALSE),"Chưa cập nhật")</f>
        <v>Nguyễn Văn An</v>
      </c>
      <c r="E77" s="5" t="str">
        <f>IFERROR(VLOOKUP(TRIM(C77),DanhMucTacGia!$A$2:$E$81,4,FALSE),"Chưa cập nhật")</f>
        <v>P.201-A</v>
      </c>
      <c r="F77" s="6">
        <f>IFERROR(VLOOKUP(TRIM(C77),DanhMucTacGia!$A$2:$E$81,5,FALSE),"Chưa cập nhật")</f>
        <v>500000</v>
      </c>
    </row>
    <row r="78" spans="1:6" ht="22.05" customHeight="1" x14ac:dyDescent="0.3">
      <c r="A78" s="3" t="s">
        <v>162</v>
      </c>
      <c r="B78" s="4" t="s">
        <v>163</v>
      </c>
      <c r="C78" s="3" t="s">
        <v>11</v>
      </c>
      <c r="D78" s="5" t="str">
        <f>IFERROR(VLOOKUP(TRIM(C78),DanhMucTacGia!$A$2:$E$81,2,FALSE),"Chưa cập nhật")</f>
        <v>Trần Thị Bình</v>
      </c>
      <c r="E78" s="5" t="str">
        <f>IFERROR(VLOOKUP(TRIM(C78),DanhMucTacGia!$A$2:$E$81,4,FALSE),"Chưa cập nhật")</f>
        <v>P.305-B</v>
      </c>
      <c r="F78" s="6">
        <f>IFERROR(VLOOKUP(TRIM(C78),DanhMucTacGia!$A$2:$E$81,5,FALSE),"Chưa cập nhật")</f>
        <v>450000</v>
      </c>
    </row>
    <row r="79" spans="1:6" ht="22.05" customHeight="1" x14ac:dyDescent="0.3">
      <c r="A79" s="3" t="s">
        <v>164</v>
      </c>
      <c r="B79" s="4" t="s">
        <v>165</v>
      </c>
      <c r="C79" s="7" t="s">
        <v>166</v>
      </c>
      <c r="D79" s="5" t="str">
        <f>IFERROR(VLOOKUP(TRIM(C79),DanhMucTacGia!$A$2:$E$81,2,FALSE),"Chưa cập nhật")</f>
        <v>Chưa cập nhật</v>
      </c>
      <c r="E79" s="5" t="str">
        <f>IFERROR(VLOOKUP(TRIM(C79),DanhMucTacGia!$A$2:$E$81,4,FALSE),"Chưa cập nhật")</f>
        <v>Chưa cập nhật</v>
      </c>
      <c r="F79" s="6" t="str">
        <f>IFERROR(VLOOKUP(TRIM(C79),DanhMucTacGia!$A$2:$E$81,5,FALSE),"Chưa cập nhật")</f>
        <v>Chưa cập nhật</v>
      </c>
    </row>
    <row r="80" spans="1:6" ht="22.05" customHeight="1" x14ac:dyDescent="0.3">
      <c r="A80" s="3" t="s">
        <v>167</v>
      </c>
      <c r="B80" s="4" t="s">
        <v>168</v>
      </c>
      <c r="C80" s="7" t="s">
        <v>169</v>
      </c>
      <c r="D80" s="5" t="str">
        <f>IFERROR(VLOOKUP(TRIM(C80),DanhMucTacGia!$A$2:$E$81,2,FALSE),"Chưa cập nhật")</f>
        <v>Chưa cập nhật</v>
      </c>
      <c r="E80" s="5" t="str">
        <f>IFERROR(VLOOKUP(TRIM(C80),DanhMucTacGia!$A$2:$E$81,4,FALSE),"Chưa cập nhật")</f>
        <v>Chưa cập nhật</v>
      </c>
      <c r="F80" s="6" t="str">
        <f>IFERROR(VLOOKUP(TRIM(C80),DanhMucTacGia!$A$2:$E$81,5,FALSE),"Chưa cập nhật")</f>
        <v>Chưa cập nhật</v>
      </c>
    </row>
    <row r="81" spans="1:6" ht="22.05" customHeight="1" x14ac:dyDescent="0.3">
      <c r="A81" s="3" t="s">
        <v>170</v>
      </c>
      <c r="B81" s="4" t="s">
        <v>171</v>
      </c>
      <c r="C81" s="7" t="s">
        <v>172</v>
      </c>
      <c r="D81" s="5" t="str">
        <f>IFERROR(VLOOKUP(TRIM(C81),DanhMucTacGia!$A$2:$E$81,2,FALSE),"Chưa cập nhật")</f>
        <v>Chưa cập nhật</v>
      </c>
      <c r="E81" s="5" t="str">
        <f>IFERROR(VLOOKUP(TRIM(C81),DanhMucTacGia!$A$2:$E$81,4,FALSE),"Chưa cập nhật")</f>
        <v>Chưa cập nhật</v>
      </c>
      <c r="F81" s="6" t="str">
        <f>IFERROR(VLOOKUP(TRIM(C81),DanhMucTacGia!$A$2:$E$81,5,FALSE),"Chưa cập nhật")</f>
        <v>Chưa cập nhật</v>
      </c>
    </row>
  </sheetData>
  <autoFilter ref="A1:F81" xr:uid="{00000000-0009-0000-0000-000000000000}"/>
  <conditionalFormatting sqref="D2:F81">
    <cfRule type="cellIs" dxfId="0" priority="1" operator="equal">
      <formula>"Chưa cập nhật"</formula>
    </cfRule>
  </conditionalFormatting>
  <pageMargins left="0.25" right="0.25" top="0.5" bottom="0.5" header="0.2" footer="0.2"/>
  <pageSetup fitToHeight="0" orientation="landscape"/>
  <headerFooter>
    <oddFooter>&amp;CTrang &amp;P / &amp;N&amp;RBài thực hành VLOOKUP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E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18" customWidth="1"/>
    <col min="5" max="5" width="20" customWidth="1"/>
  </cols>
  <sheetData>
    <row r="1" spans="1:5" ht="34.049999999999997" customHeight="1" x14ac:dyDescent="0.3">
      <c r="A1" s="2" t="s">
        <v>173</v>
      </c>
      <c r="B1" s="2" t="s">
        <v>3</v>
      </c>
      <c r="C1" s="2" t="s">
        <v>174</v>
      </c>
      <c r="D1" s="2" t="s">
        <v>175</v>
      </c>
      <c r="E1" s="2" t="s">
        <v>5</v>
      </c>
    </row>
    <row r="2" spans="1:5" ht="22.05" customHeight="1" x14ac:dyDescent="0.3">
      <c r="A2" s="3" t="s">
        <v>8</v>
      </c>
      <c r="B2" s="4" t="s">
        <v>176</v>
      </c>
      <c r="C2" s="4" t="s">
        <v>177</v>
      </c>
      <c r="D2" s="4" t="s">
        <v>178</v>
      </c>
      <c r="E2" s="8">
        <v>500000</v>
      </c>
    </row>
    <row r="3" spans="1:5" ht="22.05" customHeight="1" x14ac:dyDescent="0.3">
      <c r="A3" s="3" t="s">
        <v>11</v>
      </c>
      <c r="B3" s="4" t="s">
        <v>179</v>
      </c>
      <c r="C3" s="4" t="s">
        <v>180</v>
      </c>
      <c r="D3" s="4" t="s">
        <v>181</v>
      </c>
      <c r="E3" s="8">
        <v>450000</v>
      </c>
    </row>
    <row r="4" spans="1:5" ht="22.05" customHeight="1" x14ac:dyDescent="0.3">
      <c r="A4" s="3" t="s">
        <v>14</v>
      </c>
      <c r="B4" s="4" t="s">
        <v>182</v>
      </c>
      <c r="C4" s="4" t="s">
        <v>177</v>
      </c>
      <c r="D4" s="4" t="s">
        <v>178</v>
      </c>
      <c r="E4" s="8">
        <v>500000</v>
      </c>
    </row>
    <row r="5" spans="1:5" ht="22.05" customHeight="1" x14ac:dyDescent="0.3">
      <c r="A5" s="9"/>
      <c r="B5" s="10"/>
      <c r="C5" s="10"/>
      <c r="D5" s="10"/>
      <c r="E5" s="11"/>
    </row>
    <row r="6" spans="1:5" ht="22.05" customHeight="1" x14ac:dyDescent="0.3">
      <c r="A6" s="9"/>
      <c r="B6" s="10"/>
      <c r="C6" s="10"/>
      <c r="D6" s="10"/>
      <c r="E6" s="11"/>
    </row>
    <row r="7" spans="1:5" ht="22.05" customHeight="1" x14ac:dyDescent="0.3">
      <c r="A7" s="9"/>
      <c r="B7" s="10"/>
      <c r="C7" s="10"/>
      <c r="D7" s="10"/>
      <c r="E7" s="11"/>
    </row>
    <row r="8" spans="1:5" ht="22.05" customHeight="1" x14ac:dyDescent="0.3">
      <c r="A8" s="9"/>
      <c r="B8" s="10"/>
      <c r="C8" s="10"/>
      <c r="D8" s="10"/>
      <c r="E8" s="11"/>
    </row>
    <row r="9" spans="1:5" ht="22.05" customHeight="1" x14ac:dyDescent="0.3">
      <c r="A9" s="9"/>
      <c r="B9" s="10"/>
      <c r="C9" s="10"/>
      <c r="D9" s="10"/>
      <c r="E9" s="11"/>
    </row>
    <row r="10" spans="1:5" ht="22.05" customHeight="1" x14ac:dyDescent="0.3">
      <c r="A10" s="9"/>
      <c r="B10" s="10"/>
      <c r="C10" s="10"/>
      <c r="D10" s="10"/>
      <c r="E10" s="11"/>
    </row>
    <row r="11" spans="1:5" ht="22.05" customHeight="1" x14ac:dyDescent="0.3">
      <c r="A11" s="9"/>
      <c r="B11" s="10"/>
      <c r="C11" s="10"/>
      <c r="D11" s="10"/>
      <c r="E11" s="11"/>
    </row>
    <row r="12" spans="1:5" ht="22.05" customHeight="1" x14ac:dyDescent="0.3">
      <c r="A12" s="9"/>
      <c r="B12" s="10"/>
      <c r="C12" s="10"/>
      <c r="D12" s="10"/>
      <c r="E12" s="11"/>
    </row>
    <row r="13" spans="1:5" ht="22.05" customHeight="1" x14ac:dyDescent="0.3">
      <c r="A13" s="9"/>
      <c r="B13" s="10"/>
      <c r="C13" s="10"/>
      <c r="D13" s="10"/>
      <c r="E13" s="11"/>
    </row>
    <row r="14" spans="1:5" ht="22.05" customHeight="1" x14ac:dyDescent="0.3">
      <c r="A14" s="9"/>
      <c r="B14" s="10"/>
      <c r="C14" s="10"/>
      <c r="D14" s="10"/>
      <c r="E14" s="11"/>
    </row>
    <row r="15" spans="1:5" ht="22.05" customHeight="1" x14ac:dyDescent="0.3">
      <c r="A15" s="9"/>
      <c r="B15" s="10"/>
      <c r="C15" s="10"/>
      <c r="D15" s="10"/>
      <c r="E15" s="11"/>
    </row>
    <row r="16" spans="1:5" ht="22.05" customHeight="1" x14ac:dyDescent="0.3">
      <c r="A16" s="9"/>
      <c r="B16" s="10"/>
      <c r="C16" s="10"/>
      <c r="D16" s="10"/>
      <c r="E16" s="11"/>
    </row>
    <row r="17" spans="1:5" ht="22.05" customHeight="1" x14ac:dyDescent="0.3">
      <c r="A17" s="9"/>
      <c r="B17" s="10"/>
      <c r="C17" s="10"/>
      <c r="D17" s="10"/>
      <c r="E17" s="11"/>
    </row>
    <row r="18" spans="1:5" ht="22.05" customHeight="1" x14ac:dyDescent="0.3">
      <c r="A18" s="9"/>
      <c r="B18" s="10"/>
      <c r="C18" s="10"/>
      <c r="D18" s="10"/>
      <c r="E18" s="11"/>
    </row>
    <row r="19" spans="1:5" ht="22.05" customHeight="1" x14ac:dyDescent="0.3">
      <c r="A19" s="9"/>
      <c r="B19" s="10"/>
      <c r="C19" s="10"/>
      <c r="D19" s="10"/>
      <c r="E19" s="11"/>
    </row>
    <row r="20" spans="1:5" ht="22.05" customHeight="1" x14ac:dyDescent="0.3">
      <c r="A20" s="9"/>
      <c r="B20" s="10"/>
      <c r="C20" s="10"/>
      <c r="D20" s="10"/>
      <c r="E20" s="11"/>
    </row>
    <row r="21" spans="1:5" ht="22.05" customHeight="1" x14ac:dyDescent="0.3">
      <c r="A21" s="9"/>
      <c r="B21" s="10"/>
      <c r="C21" s="10"/>
      <c r="D21" s="10"/>
      <c r="E21" s="11"/>
    </row>
    <row r="22" spans="1:5" ht="22.05" customHeight="1" x14ac:dyDescent="0.3">
      <c r="A22" s="9"/>
      <c r="B22" s="10"/>
      <c r="C22" s="10"/>
      <c r="D22" s="10"/>
      <c r="E22" s="11"/>
    </row>
    <row r="23" spans="1:5" ht="22.05" customHeight="1" x14ac:dyDescent="0.3">
      <c r="A23" s="9"/>
      <c r="B23" s="10"/>
      <c r="C23" s="10"/>
      <c r="D23" s="10"/>
      <c r="E23" s="11"/>
    </row>
    <row r="24" spans="1:5" ht="22.05" customHeight="1" x14ac:dyDescent="0.3">
      <c r="A24" s="9"/>
      <c r="B24" s="10"/>
      <c r="C24" s="10"/>
      <c r="D24" s="10"/>
      <c r="E24" s="11"/>
    </row>
    <row r="25" spans="1:5" ht="22.05" customHeight="1" x14ac:dyDescent="0.3">
      <c r="A25" s="9"/>
      <c r="B25" s="10"/>
      <c r="C25" s="10"/>
      <c r="D25" s="10"/>
      <c r="E25" s="11"/>
    </row>
    <row r="26" spans="1:5" ht="22.05" customHeight="1" x14ac:dyDescent="0.3">
      <c r="A26" s="9"/>
      <c r="B26" s="10"/>
      <c r="C26" s="10"/>
      <c r="D26" s="10"/>
      <c r="E26" s="11"/>
    </row>
    <row r="27" spans="1:5" ht="22.05" customHeight="1" x14ac:dyDescent="0.3">
      <c r="A27" s="9"/>
      <c r="B27" s="10"/>
      <c r="C27" s="10"/>
      <c r="D27" s="10"/>
      <c r="E27" s="11"/>
    </row>
    <row r="28" spans="1:5" ht="22.05" customHeight="1" x14ac:dyDescent="0.3">
      <c r="A28" s="9"/>
      <c r="B28" s="10"/>
      <c r="C28" s="10"/>
      <c r="D28" s="10"/>
      <c r="E28" s="11"/>
    </row>
    <row r="29" spans="1:5" ht="22.05" customHeight="1" x14ac:dyDescent="0.3">
      <c r="A29" s="9"/>
      <c r="B29" s="10"/>
      <c r="C29" s="10"/>
      <c r="D29" s="10"/>
      <c r="E29" s="11"/>
    </row>
    <row r="30" spans="1:5" ht="22.05" customHeight="1" x14ac:dyDescent="0.3">
      <c r="A30" s="9"/>
      <c r="B30" s="10"/>
      <c r="C30" s="10"/>
      <c r="D30" s="10"/>
      <c r="E30" s="11"/>
    </row>
    <row r="31" spans="1:5" ht="22.05" customHeight="1" x14ac:dyDescent="0.3">
      <c r="A31" s="9"/>
      <c r="B31" s="10"/>
      <c r="C31" s="10"/>
      <c r="D31" s="10"/>
      <c r="E31" s="11"/>
    </row>
    <row r="32" spans="1:5" ht="22.05" customHeight="1" x14ac:dyDescent="0.3">
      <c r="A32" s="9"/>
      <c r="B32" s="10"/>
      <c r="C32" s="10"/>
      <c r="D32" s="10"/>
      <c r="E32" s="11"/>
    </row>
    <row r="33" spans="1:5" ht="22.05" customHeight="1" x14ac:dyDescent="0.3">
      <c r="A33" s="9"/>
      <c r="B33" s="10"/>
      <c r="C33" s="10"/>
      <c r="D33" s="10"/>
      <c r="E33" s="11"/>
    </row>
    <row r="34" spans="1:5" ht="22.05" customHeight="1" x14ac:dyDescent="0.3">
      <c r="A34" s="9"/>
      <c r="B34" s="10"/>
      <c r="C34" s="10"/>
      <c r="D34" s="10"/>
      <c r="E34" s="11"/>
    </row>
    <row r="35" spans="1:5" ht="22.05" customHeight="1" x14ac:dyDescent="0.3">
      <c r="A35" s="9"/>
      <c r="B35" s="10"/>
      <c r="C35" s="10"/>
      <c r="D35" s="10"/>
      <c r="E35" s="11"/>
    </row>
    <row r="36" spans="1:5" ht="22.05" customHeight="1" x14ac:dyDescent="0.3">
      <c r="A36" s="9"/>
      <c r="B36" s="10"/>
      <c r="C36" s="10"/>
      <c r="D36" s="10"/>
      <c r="E36" s="11"/>
    </row>
    <row r="37" spans="1:5" ht="22.05" customHeight="1" x14ac:dyDescent="0.3">
      <c r="A37" s="9"/>
      <c r="B37" s="10"/>
      <c r="C37" s="10"/>
      <c r="D37" s="10"/>
      <c r="E37" s="11"/>
    </row>
    <row r="38" spans="1:5" ht="22.05" customHeight="1" x14ac:dyDescent="0.3">
      <c r="A38" s="9"/>
      <c r="B38" s="10"/>
      <c r="C38" s="10"/>
      <c r="D38" s="10"/>
      <c r="E38" s="11"/>
    </row>
    <row r="39" spans="1:5" ht="22.05" customHeight="1" x14ac:dyDescent="0.3">
      <c r="A39" s="9"/>
      <c r="B39" s="10"/>
      <c r="C39" s="10"/>
      <c r="D39" s="10"/>
      <c r="E39" s="11"/>
    </row>
    <row r="40" spans="1:5" ht="22.05" customHeight="1" x14ac:dyDescent="0.3">
      <c r="A40" s="9"/>
      <c r="B40" s="10"/>
      <c r="C40" s="10"/>
      <c r="D40" s="10"/>
      <c r="E40" s="11"/>
    </row>
    <row r="41" spans="1:5" ht="22.05" customHeight="1" x14ac:dyDescent="0.3">
      <c r="A41" s="9"/>
      <c r="B41" s="10"/>
      <c r="C41" s="10"/>
      <c r="D41" s="10"/>
      <c r="E41" s="11"/>
    </row>
    <row r="42" spans="1:5" ht="22.05" customHeight="1" x14ac:dyDescent="0.3">
      <c r="A42" s="9"/>
      <c r="B42" s="10"/>
      <c r="C42" s="10"/>
      <c r="D42" s="10"/>
      <c r="E42" s="11"/>
    </row>
    <row r="43" spans="1:5" ht="22.05" customHeight="1" x14ac:dyDescent="0.3">
      <c r="A43" s="9"/>
      <c r="B43" s="10"/>
      <c r="C43" s="10"/>
      <c r="D43" s="10"/>
      <c r="E43" s="11"/>
    </row>
    <row r="44" spans="1:5" ht="22.05" customHeight="1" x14ac:dyDescent="0.3">
      <c r="A44" s="9"/>
      <c r="B44" s="10"/>
      <c r="C44" s="10"/>
      <c r="D44" s="10"/>
      <c r="E44" s="11"/>
    </row>
    <row r="45" spans="1:5" ht="22.05" customHeight="1" x14ac:dyDescent="0.3">
      <c r="A45" s="9"/>
      <c r="B45" s="10"/>
      <c r="C45" s="10"/>
      <c r="D45" s="10"/>
      <c r="E45" s="11"/>
    </row>
    <row r="46" spans="1:5" ht="22.05" customHeight="1" x14ac:dyDescent="0.3">
      <c r="A46" s="9"/>
      <c r="B46" s="10"/>
      <c r="C46" s="10"/>
      <c r="D46" s="10"/>
      <c r="E46" s="11"/>
    </row>
    <row r="47" spans="1:5" ht="22.05" customHeight="1" x14ac:dyDescent="0.3">
      <c r="A47" s="9"/>
      <c r="B47" s="10"/>
      <c r="C47" s="10"/>
      <c r="D47" s="10"/>
      <c r="E47" s="11"/>
    </row>
    <row r="48" spans="1:5" ht="22.05" customHeight="1" x14ac:dyDescent="0.3">
      <c r="A48" s="9"/>
      <c r="B48" s="10"/>
      <c r="C48" s="10"/>
      <c r="D48" s="10"/>
      <c r="E48" s="11"/>
    </row>
    <row r="49" spans="1:5" ht="22.05" customHeight="1" x14ac:dyDescent="0.3">
      <c r="A49" s="9"/>
      <c r="B49" s="10"/>
      <c r="C49" s="10"/>
      <c r="D49" s="10"/>
      <c r="E49" s="11"/>
    </row>
    <row r="50" spans="1:5" ht="22.05" customHeight="1" x14ac:dyDescent="0.3">
      <c r="A50" s="9"/>
      <c r="B50" s="10"/>
      <c r="C50" s="10"/>
      <c r="D50" s="10"/>
      <c r="E50" s="11"/>
    </row>
    <row r="51" spans="1:5" ht="22.05" customHeight="1" x14ac:dyDescent="0.3">
      <c r="A51" s="9"/>
      <c r="B51" s="10"/>
      <c r="C51" s="10"/>
      <c r="D51" s="10"/>
      <c r="E51" s="11"/>
    </row>
    <row r="52" spans="1:5" ht="22.05" customHeight="1" x14ac:dyDescent="0.3">
      <c r="A52" s="9"/>
      <c r="B52" s="10"/>
      <c r="C52" s="10"/>
      <c r="D52" s="10"/>
      <c r="E52" s="11"/>
    </row>
    <row r="53" spans="1:5" ht="22.05" customHeight="1" x14ac:dyDescent="0.3">
      <c r="A53" s="9"/>
      <c r="B53" s="10"/>
      <c r="C53" s="10"/>
      <c r="D53" s="10"/>
      <c r="E53" s="11"/>
    </row>
    <row r="54" spans="1:5" ht="22.05" customHeight="1" x14ac:dyDescent="0.3">
      <c r="A54" s="9"/>
      <c r="B54" s="10"/>
      <c r="C54" s="10"/>
      <c r="D54" s="10"/>
      <c r="E54" s="11"/>
    </row>
    <row r="55" spans="1:5" ht="22.05" customHeight="1" x14ac:dyDescent="0.3">
      <c r="A55" s="9"/>
      <c r="B55" s="10"/>
      <c r="C55" s="10"/>
      <c r="D55" s="10"/>
      <c r="E55" s="11"/>
    </row>
    <row r="56" spans="1:5" ht="22.05" customHeight="1" x14ac:dyDescent="0.3">
      <c r="A56" s="9"/>
      <c r="B56" s="10"/>
      <c r="C56" s="10"/>
      <c r="D56" s="10"/>
      <c r="E56" s="11"/>
    </row>
    <row r="57" spans="1:5" ht="22.05" customHeight="1" x14ac:dyDescent="0.3">
      <c r="A57" s="9"/>
      <c r="B57" s="10"/>
      <c r="C57" s="10"/>
      <c r="D57" s="10"/>
      <c r="E57" s="11"/>
    </row>
    <row r="58" spans="1:5" ht="22.05" customHeight="1" x14ac:dyDescent="0.3">
      <c r="A58" s="9"/>
      <c r="B58" s="10"/>
      <c r="C58" s="10"/>
      <c r="D58" s="10"/>
      <c r="E58" s="11"/>
    </row>
    <row r="59" spans="1:5" ht="22.05" customHeight="1" x14ac:dyDescent="0.3">
      <c r="A59" s="9"/>
      <c r="B59" s="10"/>
      <c r="C59" s="10"/>
      <c r="D59" s="10"/>
      <c r="E59" s="11"/>
    </row>
    <row r="60" spans="1:5" ht="22.05" customHeight="1" x14ac:dyDescent="0.3">
      <c r="A60" s="9"/>
      <c r="B60" s="10"/>
      <c r="C60" s="10"/>
      <c r="D60" s="10"/>
      <c r="E60" s="11"/>
    </row>
    <row r="61" spans="1:5" ht="22.05" customHeight="1" x14ac:dyDescent="0.3">
      <c r="A61" s="9"/>
      <c r="B61" s="10"/>
      <c r="C61" s="10"/>
      <c r="D61" s="10"/>
      <c r="E61" s="11"/>
    </row>
    <row r="62" spans="1:5" ht="22.05" customHeight="1" x14ac:dyDescent="0.3">
      <c r="A62" s="9"/>
      <c r="B62" s="10"/>
      <c r="C62" s="10"/>
      <c r="D62" s="10"/>
      <c r="E62" s="11"/>
    </row>
    <row r="63" spans="1:5" ht="22.05" customHeight="1" x14ac:dyDescent="0.3">
      <c r="A63" s="9"/>
      <c r="B63" s="10"/>
      <c r="C63" s="10"/>
      <c r="D63" s="10"/>
      <c r="E63" s="11"/>
    </row>
    <row r="64" spans="1:5" ht="22.05" customHeight="1" x14ac:dyDescent="0.3">
      <c r="A64" s="9"/>
      <c r="B64" s="10"/>
      <c r="C64" s="10"/>
      <c r="D64" s="10"/>
      <c r="E64" s="11"/>
    </row>
    <row r="65" spans="1:5" ht="22.05" customHeight="1" x14ac:dyDescent="0.3">
      <c r="A65" s="9"/>
      <c r="B65" s="10"/>
      <c r="C65" s="10"/>
      <c r="D65" s="10"/>
      <c r="E65" s="11"/>
    </row>
    <row r="66" spans="1:5" ht="22.05" customHeight="1" x14ac:dyDescent="0.3">
      <c r="A66" s="9"/>
      <c r="B66" s="10"/>
      <c r="C66" s="10"/>
      <c r="D66" s="10"/>
      <c r="E66" s="11"/>
    </row>
    <row r="67" spans="1:5" ht="22.05" customHeight="1" x14ac:dyDescent="0.3">
      <c r="A67" s="9"/>
      <c r="B67" s="10"/>
      <c r="C67" s="10"/>
      <c r="D67" s="10"/>
      <c r="E67" s="11"/>
    </row>
    <row r="68" spans="1:5" ht="22.05" customHeight="1" x14ac:dyDescent="0.3">
      <c r="A68" s="9"/>
      <c r="B68" s="10"/>
      <c r="C68" s="10"/>
      <c r="D68" s="10"/>
      <c r="E68" s="11"/>
    </row>
    <row r="69" spans="1:5" ht="22.05" customHeight="1" x14ac:dyDescent="0.3">
      <c r="A69" s="9"/>
      <c r="B69" s="10"/>
      <c r="C69" s="10"/>
      <c r="D69" s="10"/>
      <c r="E69" s="11"/>
    </row>
    <row r="70" spans="1:5" ht="22.05" customHeight="1" x14ac:dyDescent="0.3">
      <c r="A70" s="9"/>
      <c r="B70" s="10"/>
      <c r="C70" s="10"/>
      <c r="D70" s="10"/>
      <c r="E70" s="11"/>
    </row>
    <row r="71" spans="1:5" ht="22.05" customHeight="1" x14ac:dyDescent="0.3">
      <c r="A71" s="9"/>
      <c r="B71" s="10"/>
      <c r="C71" s="10"/>
      <c r="D71" s="10"/>
      <c r="E71" s="11"/>
    </row>
    <row r="72" spans="1:5" ht="22.05" customHeight="1" x14ac:dyDescent="0.3">
      <c r="A72" s="9"/>
      <c r="B72" s="10"/>
      <c r="C72" s="10"/>
      <c r="D72" s="10"/>
      <c r="E72" s="11"/>
    </row>
    <row r="73" spans="1:5" ht="22.05" customHeight="1" x14ac:dyDescent="0.3">
      <c r="A73" s="9"/>
      <c r="B73" s="10"/>
      <c r="C73" s="10"/>
      <c r="D73" s="10"/>
      <c r="E73" s="11"/>
    </row>
    <row r="74" spans="1:5" ht="22.05" customHeight="1" x14ac:dyDescent="0.3">
      <c r="A74" s="9"/>
      <c r="B74" s="10"/>
      <c r="C74" s="10"/>
      <c r="D74" s="10"/>
      <c r="E74" s="11"/>
    </row>
    <row r="75" spans="1:5" ht="22.05" customHeight="1" x14ac:dyDescent="0.3">
      <c r="A75" s="9"/>
      <c r="B75" s="10"/>
      <c r="C75" s="10"/>
      <c r="D75" s="10"/>
      <c r="E75" s="11"/>
    </row>
    <row r="76" spans="1:5" ht="22.05" customHeight="1" x14ac:dyDescent="0.3">
      <c r="A76" s="9"/>
      <c r="B76" s="10"/>
      <c r="C76" s="10"/>
      <c r="D76" s="10"/>
      <c r="E76" s="11"/>
    </row>
    <row r="77" spans="1:5" ht="22.05" customHeight="1" x14ac:dyDescent="0.3">
      <c r="A77" s="9"/>
      <c r="B77" s="10"/>
      <c r="C77" s="10"/>
      <c r="D77" s="10"/>
      <c r="E77" s="11"/>
    </row>
    <row r="78" spans="1:5" ht="22.05" customHeight="1" x14ac:dyDescent="0.3">
      <c r="A78" s="9"/>
      <c r="B78" s="10"/>
      <c r="C78" s="10"/>
      <c r="D78" s="10"/>
      <c r="E78" s="11"/>
    </row>
    <row r="79" spans="1:5" ht="22.05" customHeight="1" x14ac:dyDescent="0.3">
      <c r="A79" s="9"/>
      <c r="B79" s="10"/>
      <c r="C79" s="10"/>
      <c r="D79" s="10"/>
      <c r="E79" s="11"/>
    </row>
    <row r="80" spans="1:5" ht="22.05" customHeight="1" x14ac:dyDescent="0.3">
      <c r="A80" s="9"/>
      <c r="B80" s="10"/>
      <c r="C80" s="10"/>
      <c r="D80" s="10"/>
      <c r="E80" s="11"/>
    </row>
    <row r="81" spans="1:5" ht="22.05" customHeight="1" x14ac:dyDescent="0.3">
      <c r="A81" s="9"/>
      <c r="B81" s="10"/>
      <c r="C81" s="10"/>
      <c r="D81" s="10"/>
      <c r="E81" s="11"/>
    </row>
  </sheetData>
  <autoFilter ref="A1:E4" xr:uid="{00000000-0009-0000-0000-000001000000}"/>
  <pageMargins left="0.25" right="0.25" top="0.5" bottom="0.5" header="0.2" footer="0.2"/>
  <pageSetup fitToHeight="0" orientation="landscape"/>
  <headerFooter>
    <oddFooter>&amp;CTrang &amp;P / &amp;N&amp;RBài thực hành VLOOKUP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D31"/>
  <sheetViews>
    <sheetView showGridLines="0" workbookViewId="0">
      <pane ySplit="4" topLeftCell="A5" activePane="bottomLeft" state="frozen"/>
      <selection pane="bottomLeft" activeCell="D3" sqref="D3"/>
    </sheetView>
  </sheetViews>
  <sheetFormatPr defaultRowHeight="14.4" x14ac:dyDescent="0.3"/>
  <cols>
    <col min="1" max="1" width="28" customWidth="1"/>
    <col min="2" max="2" width="38" customWidth="1"/>
    <col min="3" max="3" width="34" customWidth="1"/>
    <col min="4" max="4" width="30" customWidth="1"/>
  </cols>
  <sheetData>
    <row r="1" spans="1:4" ht="36" customHeight="1" x14ac:dyDescent="0.3">
      <c r="A1" s="18" t="s">
        <v>183</v>
      </c>
      <c r="B1" s="19"/>
      <c r="C1" s="19"/>
      <c r="D1" s="19"/>
    </row>
    <row r="2" spans="1:4" ht="30" customHeight="1" x14ac:dyDescent="0.3">
      <c r="A2" s="30" t="s">
        <v>184</v>
      </c>
      <c r="B2" s="31"/>
      <c r="C2" s="31"/>
      <c r="D2" s="31"/>
    </row>
    <row r="3" spans="1:4" ht="30" customHeight="1" x14ac:dyDescent="0.3">
      <c r="A3" s="1"/>
      <c r="B3" s="1"/>
      <c r="C3" s="1"/>
      <c r="D3" s="1"/>
    </row>
    <row r="4" spans="1:4" ht="30" customHeight="1" x14ac:dyDescent="0.3">
      <c r="A4" s="26" t="s">
        <v>185</v>
      </c>
      <c r="B4" s="19"/>
      <c r="C4" s="19"/>
      <c r="D4" s="19"/>
    </row>
    <row r="5" spans="1:4" ht="30" customHeight="1" x14ac:dyDescent="0.3">
      <c r="A5" s="12" t="s">
        <v>186</v>
      </c>
      <c r="B5" s="12" t="s">
        <v>187</v>
      </c>
      <c r="C5" s="12" t="s">
        <v>188</v>
      </c>
      <c r="D5" s="12" t="s">
        <v>189</v>
      </c>
    </row>
    <row r="6" spans="1:4" ht="30" customHeight="1" x14ac:dyDescent="0.3">
      <c r="A6" s="13" t="s">
        <v>190</v>
      </c>
      <c r="B6" s="13" t="s">
        <v>191</v>
      </c>
      <c r="C6" s="13" t="s">
        <v>191</v>
      </c>
      <c r="D6" s="13" t="s">
        <v>191</v>
      </c>
    </row>
    <row r="7" spans="1:4" ht="30" customHeight="1" x14ac:dyDescent="0.3">
      <c r="A7" s="14" t="s">
        <v>192</v>
      </c>
      <c r="B7" s="14" t="s">
        <v>193</v>
      </c>
      <c r="C7" s="14" t="s">
        <v>193</v>
      </c>
      <c r="D7" s="14" t="s">
        <v>193</v>
      </c>
    </row>
    <row r="8" spans="1:4" ht="30" customHeight="1" x14ac:dyDescent="0.3">
      <c r="A8" s="13" t="s">
        <v>194</v>
      </c>
      <c r="B8" s="13" t="s">
        <v>195</v>
      </c>
      <c r="C8" s="13" t="s">
        <v>196</v>
      </c>
      <c r="D8" s="13" t="s">
        <v>197</v>
      </c>
    </row>
    <row r="9" spans="1:4" ht="30" customHeight="1" x14ac:dyDescent="0.3">
      <c r="A9" s="14" t="s">
        <v>198</v>
      </c>
      <c r="B9" s="14" t="s">
        <v>199</v>
      </c>
      <c r="C9" s="14" t="s">
        <v>199</v>
      </c>
      <c r="D9" s="14" t="s">
        <v>199</v>
      </c>
    </row>
    <row r="10" spans="1:4" ht="30" customHeight="1" x14ac:dyDescent="0.3">
      <c r="A10" s="15"/>
      <c r="B10" s="15"/>
      <c r="C10" s="15"/>
      <c r="D10" s="15"/>
    </row>
    <row r="11" spans="1:4" ht="30" customHeight="1" x14ac:dyDescent="0.3">
      <c r="A11" s="28" t="s">
        <v>200</v>
      </c>
      <c r="B11" s="24"/>
      <c r="C11" s="24"/>
      <c r="D11" s="24"/>
    </row>
    <row r="12" spans="1:4" ht="31.95" customHeight="1" x14ac:dyDescent="0.3">
      <c r="A12" s="15" t="s">
        <v>201</v>
      </c>
      <c r="B12" s="23" t="str">
        <f>IFERROR(VLOOKUP(TRIM(C2),DanhMucTacGia!$A$2:$E$81,2,FALSE),"Chưa cập nhật")</f>
        <v>Chưa cập nhật</v>
      </c>
      <c r="C12" s="24"/>
      <c r="D12" s="24"/>
    </row>
    <row r="13" spans="1:4" ht="31.95" customHeight="1" x14ac:dyDescent="0.3">
      <c r="A13" s="15" t="s">
        <v>202</v>
      </c>
      <c r="B13" s="23" t="str">
        <f>IFERROR(VLOOKUP(TRIM(C2),DanhMucTacGia!$A$2:$E$81,4,FALSE),"Chưa cập nhật")</f>
        <v>Chưa cập nhật</v>
      </c>
      <c r="C13" s="24"/>
      <c r="D13" s="24"/>
    </row>
    <row r="14" spans="1:4" ht="31.95" customHeight="1" x14ac:dyDescent="0.3">
      <c r="A14" s="16" t="s">
        <v>203</v>
      </c>
      <c r="B14" s="23" t="str">
        <f>IFERROR(VLOOKUP(TRIM(C2),DanhMucTacGia!$A$2:$E$81,5,FALSE),"Chưa cập nhật")</f>
        <v>Chưa cập nhật</v>
      </c>
      <c r="C14" s="24"/>
      <c r="D14" s="24"/>
    </row>
    <row r="15" spans="1:4" ht="30" customHeight="1" x14ac:dyDescent="0.3">
      <c r="A15" s="17"/>
      <c r="B15" s="17"/>
      <c r="C15" s="17"/>
      <c r="D15" s="17"/>
    </row>
    <row r="16" spans="1:4" ht="30" customHeight="1" x14ac:dyDescent="0.3">
      <c r="A16" s="28" t="s">
        <v>204</v>
      </c>
      <c r="B16" s="24"/>
      <c r="C16" s="24"/>
      <c r="D16" s="24"/>
    </row>
    <row r="17" spans="1:4" ht="30" customHeight="1" x14ac:dyDescent="0.3">
      <c r="A17" s="12" t="s">
        <v>205</v>
      </c>
      <c r="B17" s="12" t="s">
        <v>206</v>
      </c>
      <c r="C17" s="12" t="s">
        <v>207</v>
      </c>
      <c r="D17" s="12"/>
    </row>
    <row r="18" spans="1:4" ht="30" customHeight="1" x14ac:dyDescent="0.3">
      <c r="A18" s="13" t="s">
        <v>208</v>
      </c>
      <c r="B18" s="13" t="s">
        <v>191</v>
      </c>
      <c r="C18" s="29" t="s">
        <v>209</v>
      </c>
      <c r="D18" s="29"/>
    </row>
    <row r="19" spans="1:4" ht="30" customHeight="1" x14ac:dyDescent="0.3">
      <c r="A19" s="14" t="s">
        <v>210</v>
      </c>
      <c r="B19" s="14" t="s">
        <v>211</v>
      </c>
      <c r="C19" s="25" t="s">
        <v>212</v>
      </c>
      <c r="D19" s="25"/>
    </row>
    <row r="20" spans="1:4" ht="30" customHeight="1" x14ac:dyDescent="0.3">
      <c r="A20" s="13" t="s">
        <v>213</v>
      </c>
      <c r="B20" s="13" t="s">
        <v>214</v>
      </c>
      <c r="C20" s="29" t="s">
        <v>215</v>
      </c>
      <c r="D20" s="29"/>
    </row>
    <row r="21" spans="1:4" ht="27.6" x14ac:dyDescent="0.3">
      <c r="A21" s="14" t="s">
        <v>216</v>
      </c>
      <c r="B21" s="14" t="s">
        <v>217</v>
      </c>
      <c r="C21" s="25" t="s">
        <v>218</v>
      </c>
      <c r="D21" s="25"/>
    </row>
    <row r="23" spans="1:4" x14ac:dyDescent="0.3">
      <c r="A23" s="20" t="s">
        <v>219</v>
      </c>
      <c r="B23" s="21"/>
      <c r="C23" s="21"/>
      <c r="D23" s="21"/>
    </row>
    <row r="24" spans="1:4" ht="24" customHeight="1" x14ac:dyDescent="0.3">
      <c r="A24" s="27" t="s">
        <v>220</v>
      </c>
      <c r="B24" s="21"/>
      <c r="C24" s="21"/>
      <c r="D24" s="21"/>
    </row>
    <row r="25" spans="1:4" ht="24" customHeight="1" x14ac:dyDescent="0.3">
      <c r="A25" s="27" t="s">
        <v>221</v>
      </c>
      <c r="B25" s="21"/>
      <c r="C25" s="21"/>
      <c r="D25" s="21"/>
    </row>
    <row r="26" spans="1:4" ht="24" customHeight="1" x14ac:dyDescent="0.3">
      <c r="A26" s="27" t="s">
        <v>222</v>
      </c>
      <c r="B26" s="21"/>
      <c r="C26" s="21"/>
      <c r="D26" s="21"/>
    </row>
    <row r="27" spans="1:4" ht="24" customHeight="1" x14ac:dyDescent="0.3">
      <c r="A27" s="27" t="s">
        <v>223</v>
      </c>
      <c r="B27" s="21"/>
      <c r="C27" s="21"/>
      <c r="D27" s="21"/>
    </row>
    <row r="28" spans="1:4" ht="24" customHeight="1" x14ac:dyDescent="0.3">
      <c r="A28" s="27" t="s">
        <v>224</v>
      </c>
      <c r="B28" s="21"/>
      <c r="C28" s="21"/>
      <c r="D28" s="21"/>
    </row>
    <row r="30" spans="1:4" ht="24" customHeight="1" x14ac:dyDescent="0.3">
      <c r="A30" s="22"/>
      <c r="B30" s="21"/>
      <c r="C30" s="21"/>
      <c r="D30" s="21"/>
    </row>
    <row r="31" spans="1:4" ht="24" customHeight="1" x14ac:dyDescent="0.3">
      <c r="A31" s="21"/>
      <c r="B31" s="21"/>
      <c r="C31" s="21"/>
      <c r="D31" s="21"/>
    </row>
  </sheetData>
  <mergeCells count="19">
    <mergeCell ref="A2:D2"/>
    <mergeCell ref="A11:D11"/>
    <mergeCell ref="B12:D12"/>
    <mergeCell ref="A1:D1"/>
    <mergeCell ref="A23:D23"/>
    <mergeCell ref="A30:D31"/>
    <mergeCell ref="B14:D14"/>
    <mergeCell ref="C21:D21"/>
    <mergeCell ref="A4:D4"/>
    <mergeCell ref="B13:D13"/>
    <mergeCell ref="A25:D25"/>
    <mergeCell ref="A16:D16"/>
    <mergeCell ref="A28:D28"/>
    <mergeCell ref="C18:D18"/>
    <mergeCell ref="C20:D20"/>
    <mergeCell ref="A27:D27"/>
    <mergeCell ref="A26:D26"/>
    <mergeCell ref="C19:D19"/>
    <mergeCell ref="A24:D24"/>
  </mergeCells>
  <pageMargins left="0.25" right="0.25" top="0.5" bottom="0.5" header="0.2" footer="0.2"/>
  <pageSetup fitToHeight="2" orientation="landscape"/>
  <headerFooter>
    <oddFooter>&amp;CTrang &amp;P / &amp;N&amp;RBài thực hành VLOOKUP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DanhSachBaoCao</vt:lpstr>
      <vt:lpstr>DanhMucTacGia</vt:lpstr>
      <vt:lpstr>PhanTich</vt:lpstr>
      <vt:lpstr>DanhMucTacGia!Print_Area</vt:lpstr>
      <vt:lpstr>DanhSachBaoCao!Print_Area</vt:lpstr>
      <vt:lpstr>PhanTich!Print_Area</vt:lpstr>
      <vt:lpstr>DanhMucTacGia!Print_Titles</vt:lpstr>
      <vt:lpstr>DanhSachBaoCao!Print_Titles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Yến Hoàng</cp:lastModifiedBy>
  <dcterms:created xsi:type="dcterms:W3CDTF">2026-10-19T09:37:39Z</dcterms:created>
  <dcterms:modified xsi:type="dcterms:W3CDTF">2026-10-19T09:51:37Z</dcterms:modified>
</cp:coreProperties>
</file>